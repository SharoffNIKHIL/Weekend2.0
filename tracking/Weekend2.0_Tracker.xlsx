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Dashboard" sheetId="2" state="visible" r:id="rId2"/>
    <sheet name="Phases" sheetId="3" state="visible" r:id="rId3"/>
    <sheet name="Tasks" sheetId="4" state="visible" r:id="rId4"/>
    <sheet name="Decisions" sheetId="5" state="visible" r:id="rId5"/>
    <sheet name="Issues" sheetId="6" state="visible" r:id="rId6"/>
    <sheet name="Cost" sheetId="7" state="visible" r:id="rId7"/>
    <sheet name="Approvals" sheetId="8" state="visible" r:id="rId8"/>
    <sheet name="Doc versions" sheetId="9" state="visible" r:id="rId9"/>
  </sheets>
  <definedNames>
    <definedName name="_xlnm._FilterDatabase" localSheetId="2" hidden="1">'Phases'!$A$1:$J$8</definedName>
    <definedName name="_xlnm._FilterDatabase" localSheetId="3" hidden="1">'Tasks'!$A$1:$I$16</definedName>
    <definedName name="_xlnm._FilterDatabase" localSheetId="4" hidden="1">'Decisions'!$A$1:$H$7</definedName>
    <definedName name="_xlnm._FilterDatabase" localSheetId="5" hidden="1">'Issues'!$A$1:$G$7</definedName>
    <definedName name="_xlnm._FilterDatabase" localSheetId="6" hidden="1">'Cost'!$A$1:$F$11</definedName>
    <definedName name="_xlnm._FilterDatabase" localSheetId="7" hidden="1">'Approvals'!$A$1:$E$2</definedName>
    <definedName name="_xlnm._FilterDatabase" localSheetId="8" hidden="1">'Doc versions'!$A$1:$E$5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$#,##0.00;($#,##0.00);&quot;-&quot;"/>
    <numFmt numFmtId="166" formatCode="₹#,##0;(₹#,##0);&quot;-&quot;"/>
    <numFmt numFmtId="167" formatCode="$#,##0.00"/>
    <numFmt numFmtId="168" formatCode="₹#,##0"/>
    <numFmt numFmtId="169" formatCode="0.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</font>
    <font>
      <name val="Arial"/>
      <color rgb="000000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0" fontId="2" fillId="0" borderId="0" pivotButton="0" quotePrefix="0" xfId="0"/>
    <xf numFmtId="164" fontId="2" fillId="0" borderId="0" pivotButton="0" quotePrefix="0" xfId="0"/>
    <xf numFmtId="9" fontId="2" fillId="0" borderId="0" pivotButton="0" quotePrefix="0" xfId="0"/>
    <xf numFmtId="0" fontId="4" fillId="3" borderId="0" pivotButton="0" quotePrefix="0" xfId="0"/>
    <xf numFmtId="166" fontId="2" fillId="0" borderId="0" pivotButton="0" quotePrefix="0" xfId="0"/>
    <xf numFmtId="169" fontId="2" fillId="0" borderId="0" pivotButton="0" quotePrefix="0" xfId="0"/>
    <xf numFmtId="0" fontId="4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164" fontId="2" fillId="2" borderId="1" applyAlignment="1" pivotButton="0" quotePrefix="0" xfId="0">
      <alignment vertical="top" wrapText="1"/>
    </xf>
    <xf numFmtId="9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6" fontId="2" fillId="0" borderId="1" applyAlignment="1" pivotButton="0" quotePrefix="0" xfId="0">
      <alignment vertical="top" wrapText="1"/>
    </xf>
    <xf numFmtId="167" fontId="2" fillId="0" borderId="0" pivotButton="0" quotePrefix="0" xfId="0"/>
    <xf numFmtId="168" fontId="3" fillId="0" borderId="0" pivotButton="0" quotePrefix="0" xfId="0"/>
    <xf numFmtId="2" fontId="5" fillId="2" borderId="0" pivotButton="0" quotePrefix="0" xfId="0"/>
    <xf numFmtId="168" fontId="5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Weekend tracker</author>
  </authors>
  <commentList>
    <comment ref="B2" authorId="0" shapeId="0">
      <text>
        <t>Project start date (from PROJECT_MEMORY.md M1).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1" t="inlineStr">
        <is>
          <t>Weekend 2.0 — Project Tracker</t>
        </is>
      </c>
      <c r="B1" s="2" t="inlineStr"/>
    </row>
    <row r="2">
      <c r="A2" s="3" t="inlineStr">
        <is>
          <t>Created</t>
        </is>
      </c>
      <c r="B2" s="2" t="inlineStr">
        <is>
          <t>2026-10-02 (IST). Source of truth is PROJECT_MEMORY.md; this workbook is a working view of it.</t>
        </is>
      </c>
    </row>
    <row r="3">
      <c r="A3" s="3" t="inlineStr"/>
      <c r="B3" s="2" t="inlineStr"/>
    </row>
    <row r="4">
      <c r="A4" s="3" t="inlineStr">
        <is>
          <t>Cells to edit</t>
        </is>
      </c>
      <c r="B4" s="4" t="inlineStr">
        <is>
          <t>Yellow-shaded cells are inputs: status, dates, notes, final choices, cost figures. Do not edit white formula cells.</t>
        </is>
      </c>
    </row>
    <row r="5">
      <c r="A5" s="3" t="inlineStr">
        <is>
          <t>Add a row</t>
        </is>
      </c>
      <c r="B5" s="2" t="inlineStr">
        <is>
          <t>Type in the next empty row of Tasks / Issues / Decisions / Approvals. Dashboard and Phases update automatically (rows 2–200).</t>
        </is>
      </c>
    </row>
    <row r="6">
      <c r="A6" s="3" t="inlineStr">
        <is>
          <t>Task / Phase status</t>
        </is>
      </c>
      <c r="B6" s="2" t="inlineStr">
        <is>
          <t>Not started · In progress · Blocked · Done (pick from the dropdown).</t>
        </is>
      </c>
    </row>
    <row r="7">
      <c r="A7" s="3" t="inlineStr">
        <is>
          <t>Decision status</t>
        </is>
      </c>
      <c r="B7" s="2" t="inlineStr">
        <is>
          <t>Open · Provisional · Decided. Decide in order D1 → D2 → D4 → D5 → D6 → D3.</t>
        </is>
      </c>
    </row>
    <row r="8">
      <c r="A8" s="3" t="inlineStr">
        <is>
          <t>Issue severity</t>
        </is>
      </c>
      <c r="B8" s="2" t="inlineStr">
        <is>
          <t>Critical · High · Medium · Low. Status: Open · Closed.</t>
        </is>
      </c>
    </row>
    <row r="9">
      <c r="A9" s="3" t="inlineStr">
        <is>
          <t>Dates</t>
        </is>
      </c>
      <c r="B9" s="2" t="inlineStr">
        <is>
          <t>Format yyyy-mm-dd (IST).</t>
        </is>
      </c>
    </row>
    <row r="10">
      <c r="A10" s="3" t="inlineStr">
        <is>
          <t>Cost sheet</t>
        </is>
      </c>
      <c r="B10" s="2" t="inlineStr">
        <is>
          <t>Blue numbers are inputs from DESIGN.md §21 (prices checked 2026-10-02). INR is calculated from the exchange-rate cell. Re-check 'Not verified' rows in the AWS Pricing Calculator.</t>
        </is>
      </c>
    </row>
    <row r="11">
      <c r="A11" s="3" t="inlineStr">
        <is>
          <t>Update routine</t>
        </is>
      </c>
      <c r="B11" s="2" t="inlineStr">
        <is>
          <t>After each working session: update Tasks/Issues here, then run `save project` so PROJECT_MEMORY.md matches.</t>
        </is>
      </c>
    </row>
    <row r="12">
      <c r="A12" s="3" t="inlineStr">
        <is>
          <t>Rules</t>
        </is>
      </c>
      <c r="B12" s="2" t="inlineStr">
        <is>
          <t>No secrets, account IDs or real IPs in this workbook.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Weekend 2.0 — Project Dashboard</t>
        </is>
      </c>
    </row>
    <row r="2">
      <c r="A2" s="5" t="inlineStr">
        <is>
          <t>Project start</t>
        </is>
      </c>
      <c r="B2" s="6" t="n">
        <v>46297</v>
      </c>
      <c r="C2" s="5" t="n"/>
      <c r="D2" s="5" t="n"/>
    </row>
    <row r="3">
      <c r="A3" s="5" t="inlineStr">
        <is>
          <t>Days since start</t>
        </is>
      </c>
      <c r="B3" s="5">
        <f>TODAY()-B2</f>
        <v/>
      </c>
      <c r="C3" s="5" t="n"/>
      <c r="D3" s="5" t="n"/>
    </row>
    <row r="4">
      <c r="A4" s="5" t="n"/>
      <c r="B4" s="5" t="n"/>
      <c r="C4" s="5" t="n"/>
      <c r="D4" s="5" t="n"/>
    </row>
    <row r="5">
      <c r="A5" s="3" t="inlineStr">
        <is>
          <t>Tasks</t>
        </is>
      </c>
      <c r="B5" s="5" t="n"/>
      <c r="C5" s="5" t="n"/>
      <c r="D5" s="5" t="n"/>
    </row>
    <row r="6">
      <c r="A6" s="5" t="inlineStr">
        <is>
          <t>Total tasks</t>
        </is>
      </c>
      <c r="B6" s="5">
        <f>COUNTA(Tasks!$A$2:$A$200)</f>
        <v/>
      </c>
      <c r="C6" s="5" t="n"/>
      <c r="D6" s="5" t="n"/>
    </row>
    <row r="7">
      <c r="A7" s="5" t="inlineStr">
        <is>
          <t>Done</t>
        </is>
      </c>
      <c r="B7" s="5">
        <f>COUNTIF(Tasks!$E$2:$E$200,"Done")</f>
        <v/>
      </c>
      <c r="C7" s="5" t="n"/>
      <c r="D7" s="5" t="n"/>
    </row>
    <row r="8">
      <c r="A8" s="5" t="inlineStr">
        <is>
          <t>In progress</t>
        </is>
      </c>
      <c r="B8" s="5">
        <f>COUNTIF(Tasks!$E$2:$E$200,"In progress")</f>
        <v/>
      </c>
      <c r="C8" s="5" t="n"/>
      <c r="D8" s="5" t="n"/>
    </row>
    <row r="9">
      <c r="A9" s="5" t="inlineStr">
        <is>
          <t>Blocked</t>
        </is>
      </c>
      <c r="B9" s="5">
        <f>COUNTIF(Tasks!$E$2:$E$200,"Blocked")</f>
        <v/>
      </c>
      <c r="C9" s="5" t="n"/>
      <c r="D9" s="5" t="n"/>
    </row>
    <row r="10">
      <c r="A10" s="5" t="inlineStr">
        <is>
          <t>Not started</t>
        </is>
      </c>
      <c r="B10" s="5">
        <f>COUNTIF(Tasks!$E$2:$E$200,"Not started")</f>
        <v/>
      </c>
      <c r="C10" s="5" t="n"/>
      <c r="D10" s="5" t="n"/>
    </row>
    <row r="11">
      <c r="A11" s="5" t="inlineStr">
        <is>
          <t>Overall % done</t>
        </is>
      </c>
      <c r="B11" s="7">
        <f>IFERROR(B7/B6,0)</f>
        <v/>
      </c>
      <c r="C11" s="5" t="n"/>
      <c r="D11" s="5" t="n"/>
    </row>
    <row r="12">
      <c r="A12" s="5" t="inlineStr">
        <is>
          <t>Critical tasks not done</t>
        </is>
      </c>
      <c r="B12" s="5">
        <f>COUNTIFS(Tasks!$D$2:$D$200,"Critical",Tasks!$E$2:$E$200,"&lt;&gt;Done")</f>
        <v/>
      </c>
      <c r="C12" s="5" t="n"/>
      <c r="D12" s="5" t="n"/>
    </row>
    <row r="13">
      <c r="A13" s="5" t="n"/>
      <c r="B13" s="5" t="n"/>
      <c r="C13" s="5" t="n"/>
      <c r="D13" s="5" t="n"/>
    </row>
    <row r="14">
      <c r="A14" s="3" t="inlineStr">
        <is>
          <t>Phases</t>
        </is>
      </c>
      <c r="B14" s="5" t="n"/>
      <c r="C14" s="5" t="n"/>
      <c r="D14" s="5" t="n"/>
    </row>
    <row r="15">
      <c r="A15" s="8" t="inlineStr">
        <is>
          <t>Phase</t>
        </is>
      </c>
      <c r="B15" s="8" t="inlineStr">
        <is>
          <t>Status</t>
        </is>
      </c>
      <c r="C15" s="8" t="inlineStr">
        <is>
          <t>Tasks done %</t>
        </is>
      </c>
      <c r="D15" s="5" t="n"/>
    </row>
    <row r="16">
      <c r="A16" s="5">
        <f>Phases!A2&amp;" — "&amp;Phases!B2</f>
        <v/>
      </c>
      <c r="B16" s="5">
        <f>Phases!D2</f>
        <v/>
      </c>
      <c r="C16" s="7">
        <f>Phases!I2</f>
        <v/>
      </c>
      <c r="D16" s="5" t="n"/>
    </row>
    <row r="17">
      <c r="A17" s="5">
        <f>Phases!A3&amp;" — "&amp;Phases!B3</f>
        <v/>
      </c>
      <c r="B17" s="5">
        <f>Phases!D3</f>
        <v/>
      </c>
      <c r="C17" s="7">
        <f>Phases!I3</f>
        <v/>
      </c>
      <c r="D17" s="5" t="n"/>
    </row>
    <row r="18">
      <c r="A18" s="5">
        <f>Phases!A4&amp;" — "&amp;Phases!B4</f>
        <v/>
      </c>
      <c r="B18" s="5">
        <f>Phases!D4</f>
        <v/>
      </c>
      <c r="C18" s="7">
        <f>Phases!I4</f>
        <v/>
      </c>
      <c r="D18" s="5" t="n"/>
    </row>
    <row r="19">
      <c r="A19" s="5">
        <f>Phases!A5&amp;" — "&amp;Phases!B5</f>
        <v/>
      </c>
      <c r="B19" s="5">
        <f>Phases!D5</f>
        <v/>
      </c>
      <c r="C19" s="7">
        <f>Phases!I5</f>
        <v/>
      </c>
      <c r="D19" s="5" t="n"/>
    </row>
    <row r="20">
      <c r="A20" s="5">
        <f>Phases!A6&amp;" — "&amp;Phases!B6</f>
        <v/>
      </c>
      <c r="B20" s="5">
        <f>Phases!D6</f>
        <v/>
      </c>
      <c r="C20" s="7">
        <f>Phases!I6</f>
        <v/>
      </c>
      <c r="D20" s="5" t="n"/>
    </row>
    <row r="21">
      <c r="A21" s="5">
        <f>Phases!A7&amp;" — "&amp;Phases!B7</f>
        <v/>
      </c>
      <c r="B21" s="5">
        <f>Phases!D7</f>
        <v/>
      </c>
      <c r="C21" s="7">
        <f>Phases!I7</f>
        <v/>
      </c>
      <c r="D21" s="5" t="n"/>
    </row>
    <row r="22">
      <c r="A22" s="5">
        <f>Phases!A8&amp;" — "&amp;Phases!B8</f>
        <v/>
      </c>
      <c r="B22" s="5">
        <f>Phases!D8</f>
        <v/>
      </c>
      <c r="C22" s="7">
        <f>Phases!I8</f>
        <v/>
      </c>
      <c r="D22" s="5" t="n"/>
    </row>
    <row r="23">
      <c r="A23" s="5" t="n"/>
      <c r="B23" s="5" t="n"/>
      <c r="C23" s="5" t="n"/>
      <c r="D23" s="5" t="n"/>
    </row>
    <row r="24">
      <c r="A24" s="3" t="inlineStr">
        <is>
          <t>Decisions (D1 → D2 → D4 → D5 → D6 → D3)</t>
        </is>
      </c>
      <c r="B24" s="5" t="n"/>
      <c r="C24" s="5" t="n"/>
      <c r="D24" s="5" t="n"/>
    </row>
    <row r="25">
      <c r="A25" s="5" t="inlineStr">
        <is>
          <t>Open</t>
        </is>
      </c>
      <c r="B25" s="5">
        <f>COUNTIF(Decisions!$D$2:$D$200,"Open")</f>
        <v/>
      </c>
      <c r="C25" s="5" t="n"/>
      <c r="D25" s="5" t="n"/>
    </row>
    <row r="26">
      <c r="A26" s="5" t="inlineStr">
        <is>
          <t>Provisional</t>
        </is>
      </c>
      <c r="B26" s="5">
        <f>COUNTIF(Decisions!$D$2:$D$200,"Provisional")</f>
        <v/>
      </c>
      <c r="C26" s="5" t="n"/>
      <c r="D26" s="5" t="n"/>
    </row>
    <row r="27">
      <c r="A27" s="5" t="inlineStr">
        <is>
          <t>Decided</t>
        </is>
      </c>
      <c r="B27" s="5">
        <f>COUNTIF(Decisions!$D$2:$D$200,"Decided")</f>
        <v/>
      </c>
      <c r="C27" s="5" t="n"/>
      <c r="D27" s="5" t="n"/>
    </row>
    <row r="28">
      <c r="A28" s="5" t="inlineStr">
        <is>
          <t>Next decision</t>
        </is>
      </c>
      <c r="B28" s="5">
        <f>IF(COUNTIF(Decisions!$D$2:$D$200,"Decided")&gt;=COUNTA(Decisions!$A$2:$A$200),"All decided",INDEX(Decisions!$A$2:$A$200,COUNTIF(Decisions!$D$2:$D$200,"Decided")+1)&amp;" — "&amp;INDEX(Decisions!$C$2:$C$200,COUNTIF(Decisions!$D$2:$D$200,"Decided")+1))</f>
        <v/>
      </c>
      <c r="C28" s="5" t="n"/>
      <c r="D28" s="5" t="n"/>
    </row>
    <row r="29">
      <c r="A29" s="5" t="n"/>
      <c r="B29" s="5" t="n"/>
      <c r="C29" s="5" t="n"/>
      <c r="D29" s="5" t="n"/>
    </row>
    <row r="30">
      <c r="A30" s="3" t="inlineStr">
        <is>
          <t>Open issues by severity</t>
        </is>
      </c>
      <c r="B30" s="5" t="n"/>
      <c r="C30" s="5" t="n"/>
      <c r="D30" s="5" t="n"/>
    </row>
    <row r="31">
      <c r="A31" s="5" t="inlineStr">
        <is>
          <t>Critical</t>
        </is>
      </c>
      <c r="B31" s="5">
        <f>COUNTIFS(Issues!$C$2:$C$200,"Critical",Issues!$E$2:$E$200,"Open")</f>
        <v/>
      </c>
      <c r="C31" s="5" t="n"/>
      <c r="D31" s="5" t="n"/>
    </row>
    <row r="32">
      <c r="A32" s="5" t="inlineStr">
        <is>
          <t>High</t>
        </is>
      </c>
      <c r="B32" s="5">
        <f>COUNTIFS(Issues!$C$2:$C$200,"High",Issues!$E$2:$E$200,"Open")</f>
        <v/>
      </c>
      <c r="C32" s="5" t="n"/>
      <c r="D32" s="5" t="n"/>
    </row>
    <row r="33">
      <c r="A33" s="5" t="inlineStr">
        <is>
          <t>Medium</t>
        </is>
      </c>
      <c r="B33" s="5">
        <f>COUNTIFS(Issues!$C$2:$C$200,"Medium",Issues!$E$2:$E$200,"Open")</f>
        <v/>
      </c>
      <c r="C33" s="5" t="n"/>
      <c r="D33" s="5" t="n"/>
    </row>
    <row r="34">
      <c r="A34" s="5" t="inlineStr">
        <is>
          <t>Low</t>
        </is>
      </c>
      <c r="B34" s="5">
        <f>COUNTIFS(Issues!$C$2:$C$200,"Low",Issues!$E$2:$E$200,"Open")</f>
        <v/>
      </c>
      <c r="C34" s="5" t="n"/>
      <c r="D34" s="5" t="n"/>
    </row>
    <row r="35">
      <c r="A35" s="5" t="inlineStr">
        <is>
          <t>Total open</t>
        </is>
      </c>
      <c r="B35" s="5">
        <f>SUM(B31:B34)</f>
        <v/>
      </c>
      <c r="C35" s="5" t="n"/>
      <c r="D35" s="5" t="n"/>
    </row>
    <row r="36">
      <c r="A36" s="5" t="n"/>
      <c r="B36" s="5" t="n"/>
      <c r="C36" s="5" t="n"/>
      <c r="D36" s="5" t="n"/>
    </row>
    <row r="37">
      <c r="A37" s="3" t="inlineStr">
        <is>
          <t>Cost vs budget (monthly)</t>
        </is>
      </c>
      <c r="B37" s="5" t="n"/>
      <c r="C37" s="5" t="n"/>
      <c r="D37" s="5" t="n"/>
    </row>
    <row r="38">
      <c r="A38" s="5" t="inlineStr">
        <is>
          <t>Estimated cost (₹)</t>
        </is>
      </c>
      <c r="B38" s="9">
        <f>Cost!D13</f>
        <v/>
      </c>
      <c r="C38" s="5" t="n"/>
      <c r="D38" s="5" t="n"/>
    </row>
    <row r="39">
      <c r="A39" s="5" t="inlineStr">
        <is>
          <t>Budget (₹)</t>
        </is>
      </c>
      <c r="B39" s="9">
        <f>Cost!B16</f>
        <v/>
      </c>
      <c r="C39" s="5" t="n"/>
      <c r="D39" s="5" t="n"/>
    </row>
    <row r="40">
      <c r="A40" s="5" t="inlineStr">
        <is>
          <t>Headroom (₹)</t>
        </is>
      </c>
      <c r="B40" s="9">
        <f>Cost!B17</f>
        <v/>
      </c>
      <c r="C40" s="5" t="n"/>
      <c r="D40" s="5" t="n"/>
    </row>
    <row r="41">
      <c r="A41" s="5" t="inlineStr">
        <is>
          <t>Budget used</t>
        </is>
      </c>
      <c r="B41" s="10">
        <f>Cost!B18</f>
        <v/>
      </c>
      <c r="C41" s="5" t="n"/>
      <c r="D41" s="5" t="n"/>
    </row>
    <row r="42">
      <c r="A42" s="5" t="inlineStr">
        <is>
          <t>Fits budget?</t>
        </is>
      </c>
      <c r="B42" s="5">
        <f>Cost!B19</f>
        <v/>
      </c>
      <c r="C42" s="5" t="n"/>
      <c r="D42" s="5" t="n"/>
    </row>
  </sheetData>
  <conditionalFormatting sqref="B2:B200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conditionalFormatting sqref="B42">
    <cfRule type="cellIs" priority="5" operator="equal" dxfId="0">
      <formula>"Yes"</formula>
    </cfRule>
    <cfRule type="cellIs" priority="6" operator="equal" dxfId="2">
      <formula>"No"</formula>
    </cfRule>
  </conditionalFormatting>
  <conditionalFormatting sqref="B9">
    <cfRule type="cellIs" priority="7" operator="greaterThan" dxfId="2">
      <formula>0</formula>
    </cfRule>
  </conditionalFormatting>
  <conditionalFormatting sqref="B12">
    <cfRule type="cellIs" priority="8" operator="greaterThan" dxfId="2">
      <formula>0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8" customWidth="1" min="3" max="3"/>
    <col width="14" customWidth="1" min="4" max="4"/>
    <col width="12" customWidth="1" min="5" max="5"/>
    <col width="12" customWidth="1" min="6" max="6"/>
    <col width="12" customWidth="1" min="7" max="7"/>
    <col width="40" customWidth="1" min="8" max="8"/>
    <col width="13" customWidth="1" min="9" max="9"/>
    <col width="16" customWidth="1" min="10" max="10"/>
  </cols>
  <sheetData>
    <row r="1">
      <c r="A1" s="11" t="inlineStr">
        <is>
          <t>Phase</t>
        </is>
      </c>
      <c r="B1" s="11" t="inlineStr">
        <is>
          <t>Name</t>
        </is>
      </c>
      <c r="C1" s="11" t="inlineStr">
        <is>
          <t>Exit criteria</t>
        </is>
      </c>
      <c r="D1" s="11" t="inlineStr">
        <is>
          <t>Status</t>
        </is>
      </c>
      <c r="E1" s="11" t="inlineStr">
        <is>
          <t>Start</t>
        </is>
      </c>
      <c r="F1" s="11" t="inlineStr">
        <is>
          <t>Target</t>
        </is>
      </c>
      <c r="G1" s="11" t="inlineStr">
        <is>
          <t>Done</t>
        </is>
      </c>
      <c r="H1" s="11" t="inlineStr">
        <is>
          <t>Evidence</t>
        </is>
      </c>
      <c r="I1" s="11" t="inlineStr">
        <is>
          <t>Tasks done %</t>
        </is>
      </c>
      <c r="J1" s="11" t="inlineStr">
        <is>
          <t>Tasks (done / total)</t>
        </is>
      </c>
    </row>
    <row r="2">
      <c r="A2" s="12" t="n">
        <v>0</v>
      </c>
      <c r="B2" s="12" t="inlineStr">
        <is>
          <t>Requirements &amp; architecture</t>
        </is>
      </c>
      <c r="C2" s="12" t="inlineStr">
        <is>
          <t>D1–D4 decided; diagram and cost estimate approved</t>
        </is>
      </c>
      <c r="D2" s="13" t="inlineStr">
        <is>
          <t>In progress</t>
        </is>
      </c>
      <c r="E2" s="14" t="n">
        <v>46297</v>
      </c>
      <c r="F2" s="14" t="n"/>
      <c r="G2" s="14" t="n"/>
      <c r="H2" s="13" t="inlineStr">
        <is>
          <t>DESIGN.md v0.1.3; diagrams 01–05; READMEs</t>
        </is>
      </c>
      <c r="I2" s="15">
        <f>IFERROR(COUNTIFS(Tasks!$B$2:$B$200,A2,Tasks!$E$2:$E$200,"Done")/COUNTIF(Tasks!$B$2:$B$200,A2),0)</f>
        <v/>
      </c>
      <c r="J2" s="12">
        <f>COUNTIFS(Tasks!$B$2:$B$200,A2,Tasks!$E$2:$E$200,"Done")&amp;" / "&amp;COUNTIF(Tasks!$B$2:$B$200,A2)</f>
        <v/>
      </c>
    </row>
    <row r="3">
      <c r="A3" s="12" t="n">
        <v>1</v>
      </c>
      <c r="B3" s="12" t="inlineStr">
        <is>
          <t>MVP backend</t>
        </is>
      </c>
      <c r="C3" s="12" t="inlineStr">
        <is>
          <t>Agent core answers via a test interface, with unit tests</t>
        </is>
      </c>
      <c r="D3" s="13" t="inlineStr">
        <is>
          <t>Not started</t>
        </is>
      </c>
      <c r="E3" s="14" t="n"/>
      <c r="F3" s="14" t="n"/>
      <c r="G3" s="14" t="n"/>
      <c r="H3" s="13" t="inlineStr"/>
      <c r="I3" s="15">
        <f>IFERROR(COUNTIFS(Tasks!$B$2:$B$200,A3,Tasks!$E$2:$E$200,"Done")/COUNTIF(Tasks!$B$2:$B$200,A3),0)</f>
        <v/>
      </c>
      <c r="J3" s="12">
        <f>COUNTIFS(Tasks!$B$2:$B$200,A3,Tasks!$E$2:$E$200,"Done")&amp;" / "&amp;COUNTIF(Tasks!$B$2:$B$200,A3)</f>
        <v/>
      </c>
    </row>
    <row r="4">
      <c r="A4" s="12" t="n">
        <v>2</v>
      </c>
      <c r="B4" s="12" t="inlineStr">
        <is>
          <t>Mobile access</t>
        </is>
      </c>
      <c r="C4" s="12" t="inlineStr">
        <is>
          <t>Owner uses it from the phone securely (D6, TLS)</t>
        </is>
      </c>
      <c r="D4" s="13" t="inlineStr">
        <is>
          <t>Not started</t>
        </is>
      </c>
      <c r="E4" s="14" t="n"/>
      <c r="F4" s="14" t="n"/>
      <c r="G4" s="14" t="n"/>
      <c r="H4" s="13" t="inlineStr"/>
      <c r="I4" s="15">
        <f>IFERROR(COUNTIFS(Tasks!$B$2:$B$200,A4,Tasks!$E$2:$E$200,"Done")/COUNTIF(Tasks!$B$2:$B$200,A4),0)</f>
        <v/>
      </c>
      <c r="J4" s="12">
        <f>COUNTIFS(Tasks!$B$2:$B$200,A4,Tasks!$E$2:$E$200,"Done")&amp;" / "&amp;COUNTIF(Tasks!$B$2:$B$200,A4)</f>
        <v/>
      </c>
    </row>
    <row r="5">
      <c r="A5" s="12" t="n">
        <v>3</v>
      </c>
      <c r="B5" s="12" t="inlineStr">
        <is>
          <t>Memory &amp; storage</t>
        </is>
      </c>
      <c r="C5" s="12" t="inlineStr">
        <is>
          <t>Encrypted, owner-controlled memory with retention, export, delete</t>
        </is>
      </c>
      <c r="D5" s="13" t="inlineStr">
        <is>
          <t>Not started</t>
        </is>
      </c>
      <c r="E5" s="14" t="n"/>
      <c r="F5" s="14" t="n"/>
      <c r="G5" s="14" t="n"/>
      <c r="H5" s="13" t="inlineStr"/>
      <c r="I5" s="15">
        <f>IFERROR(COUNTIFS(Tasks!$B$2:$B$200,A5,Tasks!$E$2:$E$200,"Done")/COUNTIF(Tasks!$B$2:$B$200,A5),0)</f>
        <v/>
      </c>
      <c r="J5" s="12">
        <f>COUNTIFS(Tasks!$B$2:$B$200,A5,Tasks!$E$2:$E$200,"Done")&amp;" / "&amp;COUNTIF(Tasks!$B$2:$B$200,A5)</f>
        <v/>
      </c>
    </row>
    <row r="6">
      <c r="A6" s="12" t="n">
        <v>4</v>
      </c>
      <c r="B6" s="12" t="inlineStr">
        <is>
          <t>Security hardening</t>
        </is>
      </c>
      <c r="C6" s="12" t="inlineStr">
        <is>
          <t>Threat model done; P1–P10 verified in M7</t>
        </is>
      </c>
      <c r="D6" s="13" t="inlineStr">
        <is>
          <t>Not started</t>
        </is>
      </c>
      <c r="E6" s="14" t="n"/>
      <c r="F6" s="14" t="n"/>
      <c r="G6" s="14" t="n"/>
      <c r="H6" s="13" t="inlineStr"/>
      <c r="I6" s="15">
        <f>IFERROR(COUNTIFS(Tasks!$B$2:$B$200,A6,Tasks!$E$2:$E$200,"Done")/COUNTIF(Tasks!$B$2:$B$200,A6),0)</f>
        <v/>
      </c>
      <c r="J6" s="12">
        <f>COUNTIFS(Tasks!$B$2:$B$200,A6,Tasks!$E$2:$E$200,"Done")&amp;" / "&amp;COUNTIF(Tasks!$B$2:$B$200,A6)</f>
        <v/>
      </c>
    </row>
    <row r="7">
      <c r="A7" s="12" t="n">
        <v>5</v>
      </c>
      <c r="B7" s="12" t="inlineStr">
        <is>
          <t>CI/CD &amp; IaC</t>
        </is>
      </c>
      <c r="C7" s="12" t="inlineStr">
        <is>
          <t>All infra in Terraform; pipelines build, test, deploy</t>
        </is>
      </c>
      <c r="D7" s="13" t="inlineStr">
        <is>
          <t>Not started</t>
        </is>
      </c>
      <c r="E7" s="14" t="n"/>
      <c r="F7" s="14" t="n"/>
      <c r="G7" s="14" t="n"/>
      <c r="H7" s="13" t="inlineStr"/>
      <c r="I7" s="15">
        <f>IFERROR(COUNTIFS(Tasks!$B$2:$B$200,A7,Tasks!$E$2:$E$200,"Done")/COUNTIF(Tasks!$B$2:$B$200,A7),0)</f>
        <v/>
      </c>
      <c r="J7" s="12">
        <f>COUNTIFS(Tasks!$B$2:$B$200,A7,Tasks!$E$2:$E$200,"Done")&amp;" / "&amp;COUNTIF(Tasks!$B$2:$B$200,A7)</f>
        <v/>
      </c>
    </row>
    <row r="8">
      <c r="A8" s="12" t="n">
        <v>6</v>
      </c>
      <c r="B8" s="12" t="inlineStr">
        <is>
          <t>Monitoring &amp; ops</t>
        </is>
      </c>
      <c r="C8" s="12" t="inlineStr">
        <is>
          <t>Logs, alerts, backups; restore tested</t>
        </is>
      </c>
      <c r="D8" s="13" t="inlineStr">
        <is>
          <t>Not started</t>
        </is>
      </c>
      <c r="E8" s="14" t="n"/>
      <c r="F8" s="14" t="n"/>
      <c r="G8" s="14" t="n"/>
      <c r="H8" s="13" t="inlineStr"/>
      <c r="I8" s="15">
        <f>IFERROR(COUNTIFS(Tasks!$B$2:$B$200,A8,Tasks!$E$2:$E$200,"Done")/COUNTIF(Tasks!$B$2:$B$200,A8),0)</f>
        <v/>
      </c>
      <c r="J8" s="12">
        <f>COUNTIFS(Tasks!$B$2:$B$200,A8,Tasks!$E$2:$E$200,"Done")&amp;" / "&amp;COUNTIF(Tasks!$B$2:$B$200,A8)</f>
        <v/>
      </c>
    </row>
  </sheetData>
  <autoFilter ref="A1:J8"/>
  <conditionalFormatting sqref="D2:D200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dataValidations count="1">
    <dataValidation sqref="D2:D200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52" customWidth="1" min="3" max="3"/>
    <col width="11" customWidth="1" min="4" max="4"/>
    <col width="14" customWidth="1" min="5" max="5"/>
    <col width="12" customWidth="1" min="6" max="6"/>
    <col width="12" customWidth="1" min="7" max="7"/>
    <col width="12" customWidth="1" min="8" max="8"/>
    <col width="40" customWidth="1" min="9" max="9"/>
  </cols>
  <sheetData>
    <row r="1">
      <c r="A1" s="11" t="inlineStr">
        <is>
          <t>ID</t>
        </is>
      </c>
      <c r="B1" s="11" t="inlineStr">
        <is>
          <t>Phase</t>
        </is>
      </c>
      <c r="C1" s="11" t="inlineStr">
        <is>
          <t>Task</t>
        </is>
      </c>
      <c r="D1" s="11" t="inlineStr">
        <is>
          <t>Priority</t>
        </is>
      </c>
      <c r="E1" s="11" t="inlineStr">
        <is>
          <t>Status</t>
        </is>
      </c>
      <c r="F1" s="11" t="inlineStr">
        <is>
          <t>Start</t>
        </is>
      </c>
      <c r="G1" s="11" t="inlineStr">
        <is>
          <t>Due</t>
        </is>
      </c>
      <c r="H1" s="11" t="inlineStr">
        <is>
          <t>Done</t>
        </is>
      </c>
      <c r="I1" s="11" t="inlineStr">
        <is>
          <t>Notes</t>
        </is>
      </c>
    </row>
    <row r="2">
      <c r="A2" s="12" t="inlineStr">
        <is>
          <t>T-001</t>
        </is>
      </c>
      <c r="B2" s="12" t="n">
        <v>0</v>
      </c>
      <c r="C2" s="12" t="inlineStr">
        <is>
          <t>Audit Weekend v1 and list unneeded files</t>
        </is>
      </c>
      <c r="D2" s="13" t="inlineStr">
        <is>
          <t>Medium</t>
        </is>
      </c>
      <c r="E2" s="13" t="inlineStr">
        <is>
          <t>Done</t>
        </is>
      </c>
      <c r="F2" s="14" t="n">
        <v>46297</v>
      </c>
      <c r="G2" s="14" t="n"/>
      <c r="H2" s="14" t="n">
        <v>46297</v>
      </c>
      <c r="I2" s="13" t="inlineStr">
        <is>
          <t>Cleanup list delivered</t>
        </is>
      </c>
    </row>
    <row r="3">
      <c r="A3" s="12" t="inlineStr">
        <is>
          <t>T-002</t>
        </is>
      </c>
      <c r="B3" s="12" t="n">
        <v>0</v>
      </c>
      <c r="C3" s="12" t="inlineStr">
        <is>
          <t>Research 2026 prices and options</t>
        </is>
      </c>
      <c r="D3" s="13" t="inlineStr">
        <is>
          <t>High</t>
        </is>
      </c>
      <c r="E3" s="13" t="inlineStr">
        <is>
          <t>Done</t>
        </is>
      </c>
      <c r="F3" s="14" t="n">
        <v>46297</v>
      </c>
      <c r="G3" s="14" t="n"/>
      <c r="H3" s="14" t="n">
        <v>46297</v>
      </c>
      <c r="I3" s="13" t="inlineStr">
        <is>
          <t>Sources in DESIGN.md Appendix C</t>
        </is>
      </c>
    </row>
    <row r="4">
      <c r="A4" s="12" t="inlineStr">
        <is>
          <t>T-003</t>
        </is>
      </c>
      <c r="B4" s="12" t="n">
        <v>0</v>
      </c>
      <c r="C4" s="12" t="inlineStr">
        <is>
          <t>Draft DESIGN.md</t>
        </is>
      </c>
      <c r="D4" s="13" t="inlineStr">
        <is>
          <t>High</t>
        </is>
      </c>
      <c r="E4" s="13" t="inlineStr">
        <is>
          <t>Done</t>
        </is>
      </c>
      <c r="F4" s="14" t="n">
        <v>46297</v>
      </c>
      <c r="G4" s="14" t="n"/>
      <c r="H4" s="14" t="n">
        <v>46297</v>
      </c>
      <c r="I4" s="13" t="inlineStr">
        <is>
          <t>Now v0.1.3</t>
        </is>
      </c>
    </row>
    <row r="5">
      <c r="A5" s="12" t="inlineStr">
        <is>
          <t>T-004</t>
        </is>
      </c>
      <c r="B5" s="12" t="n">
        <v>0</v>
      </c>
      <c r="C5" s="12" t="inlineStr">
        <is>
          <t>Set monthly budget (₹5,000)</t>
        </is>
      </c>
      <c r="D5" s="13" t="inlineStr">
        <is>
          <t>High</t>
        </is>
      </c>
      <c r="E5" s="13" t="inlineStr">
        <is>
          <t>Done</t>
        </is>
      </c>
      <c r="F5" s="14" t="n">
        <v>46297</v>
      </c>
      <c r="G5" s="14" t="n"/>
      <c r="H5" s="14" t="n">
        <v>46297</v>
      </c>
      <c r="I5" s="13" t="inlineStr">
        <is>
          <t>BUD-20261002</t>
        </is>
      </c>
    </row>
    <row r="6">
      <c r="A6" s="12" t="inlineStr">
        <is>
          <t>T-005</t>
        </is>
      </c>
      <c r="B6" s="12" t="n">
        <v>0</v>
      </c>
      <c r="C6" s="12" t="inlineStr">
        <is>
          <t>Project README + docs README</t>
        </is>
      </c>
      <c r="D6" s="13" t="inlineStr">
        <is>
          <t>Medium</t>
        </is>
      </c>
      <c r="E6" s="13" t="inlineStr">
        <is>
          <t>Done</t>
        </is>
      </c>
      <c r="F6" s="14" t="n">
        <v>46297</v>
      </c>
      <c r="G6" s="14" t="n"/>
      <c r="H6" s="14" t="n">
        <v>46297</v>
      </c>
      <c r="I6" s="13" t="inlineStr"/>
    </row>
    <row r="7">
      <c r="A7" s="12" t="inlineStr">
        <is>
          <t>T-006</t>
        </is>
      </c>
      <c r="B7" s="12" t="n">
        <v>0</v>
      </c>
      <c r="C7" s="12" t="inlineStr">
        <is>
          <t>Architecture diagrams (FigJam + docs/diagrams)</t>
        </is>
      </c>
      <c r="D7" s="13" t="inlineStr">
        <is>
          <t>Medium</t>
        </is>
      </c>
      <c r="E7" s="13" t="inlineStr">
        <is>
          <t>Done</t>
        </is>
      </c>
      <c r="F7" s="14" t="n">
        <v>46297</v>
      </c>
      <c r="G7" s="14" t="n"/>
      <c r="H7" s="14" t="n">
        <v>46297</v>
      </c>
      <c r="I7" s="13" t="inlineStr">
        <is>
          <t>5 diagrams: jpg/svg/mmd</t>
        </is>
      </c>
    </row>
    <row r="8">
      <c r="A8" s="12" t="inlineStr">
        <is>
          <t>T-007</t>
        </is>
      </c>
      <c r="B8" s="12" t="n">
        <v>0</v>
      </c>
      <c r="C8" s="12" t="inlineStr">
        <is>
          <t>Update PROJECT_MEMORY (save project)</t>
        </is>
      </c>
      <c r="D8" s="13" t="inlineStr">
        <is>
          <t>Medium</t>
        </is>
      </c>
      <c r="E8" s="13" t="inlineStr">
        <is>
          <t>In progress</t>
        </is>
      </c>
      <c r="F8" s="14" t="n">
        <v>46297</v>
      </c>
      <c r="G8" s="14" t="n"/>
      <c r="H8" s="14" t="n"/>
      <c r="I8" s="13" t="inlineStr">
        <is>
          <t>Diff awaiting owner approval</t>
        </is>
      </c>
    </row>
    <row r="9">
      <c r="A9" s="12" t="inlineStr">
        <is>
          <t>T-008</t>
        </is>
      </c>
      <c r="B9" s="12" t="n">
        <v>0</v>
      </c>
      <c r="C9" s="12" t="inlineStr">
        <is>
          <t>Verify 'Not verified' Mumbai prices (I-3)</t>
        </is>
      </c>
      <c r="D9" s="13" t="inlineStr">
        <is>
          <t>High</t>
        </is>
      </c>
      <c r="E9" s="13" t="inlineStr">
        <is>
          <t>Not started</t>
        </is>
      </c>
      <c r="F9" s="14" t="n"/>
      <c r="G9" s="14" t="n"/>
      <c r="H9" s="14" t="n"/>
      <c r="I9" s="13" t="inlineStr">
        <is>
          <t>AWS Pricing Calculator</t>
        </is>
      </c>
    </row>
    <row r="10">
      <c r="A10" s="12" t="inlineStr">
        <is>
          <t>T-009</t>
        </is>
      </c>
      <c r="B10" s="12" t="n">
        <v>0</v>
      </c>
      <c r="C10" s="12" t="inlineStr">
        <is>
          <t>Decide D1 (hosting)</t>
        </is>
      </c>
      <c r="D10" s="13" t="inlineStr">
        <is>
          <t>High</t>
        </is>
      </c>
      <c r="E10" s="13" t="inlineStr">
        <is>
          <t>Not started</t>
        </is>
      </c>
      <c r="F10" s="14" t="n"/>
      <c r="G10" s="14" t="n"/>
      <c r="H10" s="14" t="n"/>
      <c r="I10" s="13" t="inlineStr"/>
    </row>
    <row r="11">
      <c r="A11" s="12" t="inlineStr">
        <is>
          <t>T-010</t>
        </is>
      </c>
      <c r="B11" s="12" t="n">
        <v>0</v>
      </c>
      <c r="C11" s="12" t="inlineStr">
        <is>
          <t>Decide D2 (AI model)</t>
        </is>
      </c>
      <c r="D11" s="13" t="inlineStr">
        <is>
          <t>High</t>
        </is>
      </c>
      <c r="E11" s="13" t="inlineStr">
        <is>
          <t>Not started</t>
        </is>
      </c>
      <c r="F11" s="14" t="n"/>
      <c r="G11" s="14" t="n"/>
      <c r="H11" s="14" t="n"/>
      <c r="I11" s="13" t="inlineStr">
        <is>
          <t>Depends on D1</t>
        </is>
      </c>
    </row>
    <row r="12">
      <c r="A12" s="12" t="inlineStr">
        <is>
          <t>T-011</t>
        </is>
      </c>
      <c r="B12" s="12" t="n">
        <v>0</v>
      </c>
      <c r="C12" s="12" t="inlineStr">
        <is>
          <t>Decide D4 (cloud provider)</t>
        </is>
      </c>
      <c r="D12" s="13" t="inlineStr">
        <is>
          <t>High</t>
        </is>
      </c>
      <c r="E12" s="13" t="inlineStr">
        <is>
          <t>Not started</t>
        </is>
      </c>
      <c r="F12" s="14" t="n"/>
      <c r="G12" s="14" t="n"/>
      <c r="H12" s="14" t="n"/>
      <c r="I12" s="13" t="inlineStr">
        <is>
          <t>Depends on D1, D2</t>
        </is>
      </c>
    </row>
    <row r="13">
      <c r="A13" s="12" t="inlineStr">
        <is>
          <t>T-012</t>
        </is>
      </c>
      <c r="B13" s="12" t="n">
        <v>0</v>
      </c>
      <c r="C13" s="12" t="inlineStr">
        <is>
          <t>Approve architecture diagram + cost estimate (Phase 0 exit)</t>
        </is>
      </c>
      <c r="D13" s="13" t="inlineStr">
        <is>
          <t>High</t>
        </is>
      </c>
      <c r="E13" s="13" t="inlineStr">
        <is>
          <t>Not started</t>
        </is>
      </c>
      <c r="F13" s="14" t="n"/>
      <c r="G13" s="14" t="n"/>
      <c r="H13" s="14" t="n"/>
      <c r="I13" s="13" t="inlineStr"/>
    </row>
    <row r="14">
      <c r="A14" s="12" t="inlineStr">
        <is>
          <t>T-013</t>
        </is>
      </c>
      <c r="B14" s="12" t="inlineStr">
        <is>
          <t>—</t>
        </is>
      </c>
      <c r="C14" s="12" t="inlineStr">
        <is>
          <t>Rotate leaked Weekend v1 tokens (I-1)</t>
        </is>
      </c>
      <c r="D14" s="13" t="inlineStr">
        <is>
          <t>Critical</t>
        </is>
      </c>
      <c r="E14" s="13" t="inlineStr">
        <is>
          <t>Not started</t>
        </is>
      </c>
      <c r="F14" s="14" t="n"/>
      <c r="G14" s="14" t="n"/>
      <c r="H14" s="14" t="n"/>
      <c r="I14" s="13" t="inlineStr">
        <is>
          <t>Then purge or archive the old repo</t>
        </is>
      </c>
    </row>
    <row r="15">
      <c r="A15" s="12" t="inlineStr">
        <is>
          <t>T-014</t>
        </is>
      </c>
      <c r="B15" s="12" t="n">
        <v>0</v>
      </c>
      <c r="C15" s="12" t="inlineStr">
        <is>
          <t>Claim the FigJam board (I-6)</t>
        </is>
      </c>
      <c r="D15" s="13" t="inlineStr">
        <is>
          <t>Low</t>
        </is>
      </c>
      <c r="E15" s="13" t="inlineStr">
        <is>
          <t>Not started</t>
        </is>
      </c>
      <c r="F15" s="14" t="n"/>
      <c r="G15" s="14" t="n"/>
      <c r="H15" s="14" t="n"/>
      <c r="I15" s="13" t="inlineStr"/>
    </row>
    <row r="16">
      <c r="A16" s="12" t="inlineStr">
        <is>
          <t>T-015</t>
        </is>
      </c>
      <c r="B16" s="12" t="n">
        <v>1</v>
      </c>
      <c r="C16" s="12" t="inlineStr">
        <is>
          <t>git init + private GitHub repo (needs approval)</t>
        </is>
      </c>
      <c r="D16" s="13" t="inlineStr">
        <is>
          <t>Medium</t>
        </is>
      </c>
      <c r="E16" s="13" t="inlineStr">
        <is>
          <t>Not started</t>
        </is>
      </c>
      <c r="F16" s="14" t="n"/>
      <c r="G16" s="14" t="n"/>
      <c r="H16" s="14" t="n"/>
      <c r="I16" s="13" t="inlineStr"/>
    </row>
  </sheetData>
  <autoFilter ref="A1:I16"/>
  <conditionalFormatting sqref="E2:E200">
    <cfRule type="cellIs" priority="1" operator="equal" dxfId="0">
      <formula>"Done"</formula>
    </cfRule>
    <cfRule type="cellIs" priority="2" operator="equal" dxfId="1">
      <formula>"In progress"</formula>
    </cfRule>
    <cfRule type="cellIs" priority="3" operator="equal" dxfId="2">
      <formula>"Blocked"</formula>
    </cfRule>
    <cfRule type="cellIs" priority="4" operator="equal" dxfId="3">
      <formula>"Not started"</formula>
    </cfRule>
  </conditionalFormatting>
  <conditionalFormatting sqref="D2:D200">
    <cfRule type="cellIs" priority="5" operator="equal" dxfId="2">
      <formula>"Critical"</formula>
    </cfRule>
  </conditionalFormatting>
  <dataValidations count="2">
    <dataValidation sqref="E2:E200" showDropDown="0" showInputMessage="0" showErrorMessage="0" allowBlank="1" type="list">
      <formula1>"Not started,In progress,Blocked,Done"</formula1>
    </dataValidation>
    <dataValidation sqref="D2:D200" showDropDown="0" showInputMessage="0" showErrorMessage="0" allowBlank="1" type="list">
      <formula1>"Critical,High,Medium,Low"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20" customWidth="1" min="3" max="3"/>
    <col width="13" customWidth="1" min="4" max="4"/>
    <col width="55" customWidth="1" min="5" max="5"/>
    <col width="30" customWidth="1" min="6" max="6"/>
    <col width="13" customWidth="1" min="7" max="7"/>
    <col width="30" customWidth="1" min="8" max="8"/>
  </cols>
  <sheetData>
    <row r="1">
      <c r="A1" s="11" t="inlineStr">
        <is>
          <t>ID</t>
        </is>
      </c>
      <c r="B1" s="11" t="inlineStr">
        <is>
          <t>Order</t>
        </is>
      </c>
      <c r="C1" s="11" t="inlineStr">
        <is>
          <t>Decision</t>
        </is>
      </c>
      <c r="D1" s="11" t="inlineStr">
        <is>
          <t>Status</t>
        </is>
      </c>
      <c r="E1" s="11" t="inlineStr">
        <is>
          <t>Provisional recommendation</t>
        </is>
      </c>
      <c r="F1" s="11" t="inlineStr">
        <is>
          <t>Final choice</t>
        </is>
      </c>
      <c r="G1" s="11" t="inlineStr">
        <is>
          <t>Date decided</t>
        </is>
      </c>
      <c r="H1" s="11" t="inlineStr">
        <is>
          <t>ADR file</t>
        </is>
      </c>
    </row>
    <row r="2">
      <c r="A2" s="12" t="inlineStr">
        <is>
          <t>D1</t>
        </is>
      </c>
      <c r="B2" s="12" t="n">
        <v>1</v>
      </c>
      <c r="C2" s="12" t="inlineStr">
        <is>
          <t>Hosting</t>
        </is>
      </c>
      <c r="D2" s="13" t="inlineStr">
        <is>
          <t>Open</t>
        </is>
      </c>
      <c r="E2" s="12" t="inlineStr">
        <is>
          <t>Private EC2 server, ap-south-1, tailnet-only (DESIGN §17)</t>
        </is>
      </c>
      <c r="F2" s="13" t="inlineStr"/>
      <c r="G2" s="14" t="n"/>
      <c r="H2" s="13" t="inlineStr"/>
    </row>
    <row r="3">
      <c r="A3" s="12" t="inlineStr">
        <is>
          <t>D2</t>
        </is>
      </c>
      <c r="B3" s="12" t="n">
        <v>2</v>
      </c>
      <c r="C3" s="12" t="inlineStr">
        <is>
          <t>AI model</t>
        </is>
      </c>
      <c r="D3" s="13" t="inlineStr">
        <is>
          <t>Open</t>
        </is>
      </c>
      <c r="E3" s="12" t="inlineStr">
        <is>
          <t>Claude Haiku 4.5 + Sonnet 5 via Bedrock India profile (§7)</t>
        </is>
      </c>
      <c r="F3" s="13" t="inlineStr"/>
      <c r="G3" s="14" t="n"/>
      <c r="H3" s="13" t="inlineStr"/>
    </row>
    <row r="4">
      <c r="A4" s="12" t="inlineStr">
        <is>
          <t>D4</t>
        </is>
      </c>
      <c r="B4" s="12" t="n">
        <v>3</v>
      </c>
      <c r="C4" s="12" t="inlineStr">
        <is>
          <t>Cloud provider</t>
        </is>
      </c>
      <c r="D4" s="13" t="inlineStr">
        <is>
          <t>Open</t>
        </is>
      </c>
      <c r="E4" s="12" t="inlineStr">
        <is>
          <t>AWS (§16)</t>
        </is>
      </c>
      <c r="F4" s="13" t="inlineStr"/>
      <c r="G4" s="14" t="n"/>
      <c r="H4" s="13" t="inlineStr"/>
    </row>
    <row r="5">
      <c r="A5" s="12" t="inlineStr">
        <is>
          <t>D5</t>
        </is>
      </c>
      <c r="B5" s="12" t="n">
        <v>4</v>
      </c>
      <c r="C5" s="12" t="inlineStr">
        <is>
          <t>Storage / hardware</t>
        </is>
      </c>
      <c r="D5" s="13" t="inlineStr">
        <is>
          <t>Open</t>
        </is>
      </c>
      <c r="E5" s="12" t="inlineStr">
        <is>
          <t>PostgreSQL 17 + pgvector on encrypted EBS (§9)</t>
        </is>
      </c>
      <c r="F5" s="13" t="inlineStr"/>
      <c r="G5" s="14" t="n"/>
      <c r="H5" s="13" t="inlineStr"/>
    </row>
    <row r="6">
      <c r="A6" s="12" t="inlineStr">
        <is>
          <t>D6</t>
        </is>
      </c>
      <c r="B6" s="12" t="n">
        <v>5</v>
      </c>
      <c r="C6" s="12" t="inlineStr">
        <is>
          <t>Authentication</t>
        </is>
      </c>
      <c r="D6" s="13" t="inlineStr">
        <is>
          <t>Open</t>
        </is>
      </c>
      <c r="E6" s="12" t="inlineStr">
        <is>
          <t>Tailnet + passkey (§14)</t>
        </is>
      </c>
      <c r="F6" s="13" t="inlineStr"/>
      <c r="G6" s="14" t="n"/>
      <c r="H6" s="13" t="inlineStr"/>
    </row>
    <row r="7">
      <c r="A7" s="12" t="inlineStr">
        <is>
          <t>D3</t>
        </is>
      </c>
      <c r="B7" s="12" t="n">
        <v>6</v>
      </c>
      <c r="C7" s="12" t="inlineStr">
        <is>
          <t>Mobile interface</t>
        </is>
      </c>
      <c r="D7" s="13" t="inlineStr">
        <is>
          <t>Open</t>
        </is>
      </c>
      <c r="E7" s="12" t="inlineStr">
        <is>
          <t>PWA (§15)</t>
        </is>
      </c>
      <c r="F7" s="13" t="inlineStr"/>
      <c r="G7" s="14" t="n"/>
      <c r="H7" s="13" t="inlineStr"/>
    </row>
  </sheetData>
  <autoFilter ref="A1:H7"/>
  <conditionalFormatting sqref="D2:D200">
    <cfRule type="cellIs" priority="1" operator="equal" dxfId="0">
      <formula>"Decided"</formula>
    </cfRule>
    <cfRule type="cellIs" priority="2" operator="equal" dxfId="1">
      <formula>"Provisional"</formula>
    </cfRule>
    <cfRule type="cellIs" priority="3" operator="equal" dxfId="3">
      <formula>"Open"</formula>
    </cfRule>
  </conditionalFormatting>
  <dataValidations count="1">
    <dataValidation sqref="D2:D200" showDropDown="0" showInputMessage="0" showErrorMessage="0" allowBlank="1" type="list">
      <formula1>"Open,Provisional,Decided"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52" customWidth="1" min="2" max="2"/>
    <col width="11" customWidth="1" min="3" max="3"/>
    <col width="48" customWidth="1" min="4" max="4"/>
    <col width="11" customWidth="1" min="5" max="5"/>
    <col width="12" customWidth="1" min="6" max="6"/>
    <col width="12" customWidth="1" min="7" max="7"/>
  </cols>
  <sheetData>
    <row r="1">
      <c r="A1" s="11" t="inlineStr">
        <is>
          <t>ID</t>
        </is>
      </c>
      <c r="B1" s="11" t="inlineStr">
        <is>
          <t>Description</t>
        </is>
      </c>
      <c r="C1" s="11" t="inlineStr">
        <is>
          <t>Severity</t>
        </is>
      </c>
      <c r="D1" s="11" t="inlineStr">
        <is>
          <t>Owner action</t>
        </is>
      </c>
      <c r="E1" s="11" t="inlineStr">
        <is>
          <t>Status</t>
        </is>
      </c>
      <c r="F1" s="11" t="inlineStr">
        <is>
          <t>Opened</t>
        </is>
      </c>
      <c r="G1" s="11" t="inlineStr">
        <is>
          <t>Closed</t>
        </is>
      </c>
    </row>
    <row r="2">
      <c r="A2" s="12" t="inlineStr">
        <is>
          <t>I-1</t>
        </is>
      </c>
      <c r="B2" s="12" t="inlineStr">
        <is>
          <t>Leaked tokens in Weekend v1 git history</t>
        </is>
      </c>
      <c r="C2" s="13" t="inlineStr">
        <is>
          <t>High</t>
        </is>
      </c>
      <c r="D2" s="13" t="inlineStr">
        <is>
          <t>Rotate tokens; purge or archive the old repo</t>
        </is>
      </c>
      <c r="E2" s="13" t="inlineStr">
        <is>
          <t>Open</t>
        </is>
      </c>
      <c r="F2" s="16" t="n">
        <v>46297</v>
      </c>
      <c r="G2" s="14" t="n"/>
    </row>
    <row r="3">
      <c r="A3" s="12" t="inlineStr">
        <is>
          <t>I-2</t>
        </is>
      </c>
      <c r="B3" s="12" t="inlineStr">
        <is>
          <t>Bedrock Sonnet 5 price conflict ($2/$10 vs $3/$15)</t>
        </is>
      </c>
      <c r="C3" s="13" t="inlineStr">
        <is>
          <t>Low</t>
        </is>
      </c>
      <c r="D3" s="13" t="inlineStr">
        <is>
          <t>Check the AWS Bedrock pricing page</t>
        </is>
      </c>
      <c r="E3" s="13" t="inlineStr">
        <is>
          <t>Open</t>
        </is>
      </c>
      <c r="F3" s="16" t="n">
        <v>46297</v>
      </c>
      <c r="G3" s="14" t="n"/>
    </row>
    <row r="4">
      <c r="A4" s="12" t="inlineStr">
        <is>
          <t>I-3</t>
        </is>
      </c>
      <c r="B4" s="12" t="inlineStr">
        <is>
          <t>Several Mumbai prices 'Not verified'</t>
        </is>
      </c>
      <c r="C4" s="13" t="inlineStr">
        <is>
          <t>Low</t>
        </is>
      </c>
      <c r="D4" s="13" t="inlineStr">
        <is>
          <t>Refresh with the AWS Pricing Calculator before D1</t>
        </is>
      </c>
      <c r="E4" s="13" t="inlineStr">
        <is>
          <t>Open</t>
        </is>
      </c>
      <c r="F4" s="16" t="n">
        <v>46297</v>
      </c>
      <c r="G4" s="14" t="n"/>
    </row>
    <row r="5">
      <c r="A5" s="12" t="inlineStr">
        <is>
          <t>I-4</t>
        </is>
      </c>
      <c r="B5" s="12" t="inlineStr">
        <is>
          <t>Voice options exceed the ₹5,000 budget at today's prices</t>
        </is>
      </c>
      <c r="C5" s="13" t="inlineStr">
        <is>
          <t>Medium</t>
        </is>
      </c>
      <c r="D5" s="13" t="inlineStr">
        <is>
          <t>Evaluate DESIGN §21.4 options in Phase 2</t>
        </is>
      </c>
      <c r="E5" s="13" t="inlineStr">
        <is>
          <t>Open</t>
        </is>
      </c>
      <c r="F5" s="16" t="n">
        <v>46297</v>
      </c>
      <c r="G5" s="14" t="n"/>
    </row>
    <row r="6">
      <c r="A6" s="12" t="inlineStr">
        <is>
          <t>I-5</t>
        </is>
      </c>
      <c r="B6" s="12" t="inlineStr">
        <is>
          <t>AWS network diagram shows WireGuard as one-way arrows</t>
        </is>
      </c>
      <c r="C6" s="13" t="inlineStr">
        <is>
          <t>Low</t>
        </is>
      </c>
      <c r="D6" s="13" t="inlineStr">
        <is>
          <t>Optional: fix in FigJam and re-export 04</t>
        </is>
      </c>
      <c r="E6" s="13" t="inlineStr">
        <is>
          <t>Open</t>
        </is>
      </c>
      <c r="F6" s="16" t="n">
        <v>46297</v>
      </c>
      <c r="G6" s="14" t="n"/>
    </row>
    <row r="7">
      <c r="A7" s="12" t="inlineStr">
        <is>
          <t>I-6</t>
        </is>
      </c>
      <c r="B7" s="12" t="inlineStr">
        <is>
          <t>FigJam board is an unclaimed Claude draft; seat is 'View'</t>
        </is>
      </c>
      <c r="C7" s="13" t="inlineStr">
        <is>
          <t>Low</t>
        </is>
      </c>
      <c r="D7" s="13" t="inlineStr">
        <is>
          <t>Claim the board in Figma</t>
        </is>
      </c>
      <c r="E7" s="13" t="inlineStr">
        <is>
          <t>Open</t>
        </is>
      </c>
      <c r="F7" s="16" t="n">
        <v>46297</v>
      </c>
      <c r="G7" s="14" t="n"/>
    </row>
  </sheetData>
  <autoFilter ref="A1:G7"/>
  <conditionalFormatting sqref="E2:E200">
    <cfRule type="cellIs" priority="1" operator="equal" dxfId="0">
      <formula>"Closed"</formula>
    </cfRule>
    <cfRule type="cellIs" priority="2" operator="equal" dxfId="1">
      <formula>"Open"</formula>
    </cfRule>
  </conditionalFormatting>
  <conditionalFormatting sqref="C2:C200">
    <cfRule type="cellIs" priority="3" operator="equal" dxfId="2">
      <formula>"Critical"</formula>
    </cfRule>
    <cfRule type="cellIs" priority="4" operator="equal" dxfId="2">
      <formula>"High"</formula>
    </cfRule>
  </conditionalFormatting>
  <dataValidations count="2">
    <dataValidation sqref="C2:C200" showDropDown="0" showInputMessage="0" showErrorMessage="0" allowBlank="1" type="list">
      <formula1>"Critical,High,Medium,Low"</formula1>
    </dataValidation>
    <dataValidation sqref="E2:E200" showDropDown="0" showInputMessage="0" showErrorMessage="0" allowBlank="1" type="list">
      <formula1>"Open,Closed"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0" customWidth="1" min="2" max="2"/>
    <col width="13" customWidth="1" min="3" max="3"/>
    <col width="13" customWidth="1" min="4" max="4"/>
    <col width="14" customWidth="1" min="5" max="5"/>
    <col width="44" customWidth="1" min="6" max="6"/>
  </cols>
  <sheetData>
    <row r="1">
      <c r="A1" s="11" t="inlineStr">
        <is>
          <t>Item</t>
        </is>
      </c>
      <c r="B1" s="11" t="inlineStr">
        <is>
          <t>Basis</t>
        </is>
      </c>
      <c r="C1" s="11" t="inlineStr">
        <is>
          <t>USD / month</t>
        </is>
      </c>
      <c r="D1" s="11" t="inlineStr">
        <is>
          <t>INR / month</t>
        </is>
      </c>
      <c r="E1" s="11" t="inlineStr">
        <is>
          <t>Verified?</t>
        </is>
      </c>
      <c r="F1" s="11" t="inlineStr">
        <is>
          <t>Source</t>
        </is>
      </c>
    </row>
    <row r="2">
      <c r="A2" s="12" t="inlineStr">
        <is>
          <t>EC2 t4g.medium</t>
        </is>
      </c>
      <c r="B2" s="12" t="inlineStr">
        <is>
          <t>$0.0224/h × 730 h</t>
        </is>
      </c>
      <c r="C2" s="17" t="n">
        <v>16.35</v>
      </c>
      <c r="D2" s="18">
        <f>C2*$B$15</f>
        <v/>
      </c>
      <c r="E2" s="13" t="inlineStr">
        <is>
          <t>sparecores.com (2026-10-02)</t>
        </is>
      </c>
      <c r="F2" s="12" t="n"/>
    </row>
    <row r="3">
      <c r="A3" s="12" t="inlineStr">
        <is>
          <t>EBS gp3 40 GB</t>
        </is>
      </c>
      <c r="B3" s="12" t="inlineStr">
        <is>
          <t>~$0.09/GB-month</t>
        </is>
      </c>
      <c r="C3" s="17" t="n">
        <v>3.6</v>
      </c>
      <c r="D3" s="18">
        <f>C3*$B$15</f>
        <v/>
      </c>
      <c r="E3" s="13" t="inlineStr">
        <is>
          <t>Estimate — check AWS Pricing Calculator</t>
        </is>
      </c>
      <c r="F3" s="12" t="n"/>
    </row>
    <row r="4">
      <c r="A4" s="12" t="inlineStr">
        <is>
          <t>Public IPv4</t>
        </is>
      </c>
      <c r="B4" s="12" t="inlineStr">
        <is>
          <t>$0.005/h × 730 h</t>
        </is>
      </c>
      <c r="C4" s="17" t="n">
        <v>3.65</v>
      </c>
      <c r="D4" s="18">
        <f>C4*$B$15</f>
        <v/>
      </c>
      <c r="E4" s="13" t="inlineStr">
        <is>
          <t>Estimate — check AWS Pricing Calculator</t>
        </is>
      </c>
      <c r="F4" s="12" t="n"/>
    </row>
    <row r="5">
      <c r="A5" s="12" t="inlineStr">
        <is>
          <t>KMS customer-managed keys</t>
        </is>
      </c>
      <c r="B5" s="12" t="inlineStr">
        <is>
          <t>2 keys × $1</t>
        </is>
      </c>
      <c r="C5" s="17" t="n">
        <v>2</v>
      </c>
      <c r="D5" s="18">
        <f>C5*$B$15</f>
        <v/>
      </c>
      <c r="E5" s="13" t="inlineStr">
        <is>
          <t>Estimate — check AWS Pricing Calculator</t>
        </is>
      </c>
      <c r="F5" s="12" t="n"/>
    </row>
    <row r="6">
      <c r="A6" s="12" t="inlineStr">
        <is>
          <t>Secrets Manager</t>
        </is>
      </c>
      <c r="B6" s="12" t="inlineStr">
        <is>
          <t>5 secrets × $0.40</t>
        </is>
      </c>
      <c r="C6" s="17" t="n">
        <v>2</v>
      </c>
      <c r="D6" s="18">
        <f>C6*$B$15</f>
        <v/>
      </c>
      <c r="E6" s="13" t="inlineStr">
        <is>
          <t>Estimate — check AWS Pricing Calculator</t>
        </is>
      </c>
      <c r="F6" s="12" t="n"/>
    </row>
    <row r="7">
      <c r="A7" s="12" t="inlineStr">
        <is>
          <t>S3 backups + Object Lock</t>
        </is>
      </c>
      <c r="B7" s="12" t="inlineStr">
        <is>
          <t>~15 GB + requests</t>
        </is>
      </c>
      <c r="C7" s="17" t="n">
        <v>0.6</v>
      </c>
      <c r="D7" s="18">
        <f>C7*$B$15</f>
        <v/>
      </c>
      <c r="E7" s="13" t="inlineStr">
        <is>
          <t>DESIGN.md §21.2</t>
        </is>
      </c>
      <c r="F7" s="12" t="n"/>
    </row>
    <row r="8">
      <c r="A8" s="12" t="inlineStr">
        <is>
          <t>EBS snapshots</t>
        </is>
      </c>
      <c r="B8" s="12" t="inlineStr">
        <is>
          <t>Weekly, incremental</t>
        </is>
      </c>
      <c r="C8" s="17" t="n">
        <v>1</v>
      </c>
      <c r="D8" s="18">
        <f>C8*$B$15</f>
        <v/>
      </c>
      <c r="E8" s="13" t="inlineStr">
        <is>
          <t>DESIGN.md §21.2</t>
        </is>
      </c>
      <c r="F8" s="12" t="n"/>
    </row>
    <row r="9">
      <c r="A9" s="12" t="inlineStr">
        <is>
          <t>CloudWatch Logs</t>
        </is>
      </c>
      <c r="B9" s="12" t="inlineStr">
        <is>
          <t>&lt; 1 GB/month</t>
        </is>
      </c>
      <c r="C9" s="17" t="n">
        <v>1</v>
      </c>
      <c r="D9" s="18">
        <f>C9*$B$15</f>
        <v/>
      </c>
      <c r="E9" s="13" t="inlineStr">
        <is>
          <t>DESIGN.md §21.2</t>
        </is>
      </c>
      <c r="F9" s="12" t="n"/>
    </row>
    <row r="10">
      <c r="A10" s="12" t="inlineStr">
        <is>
          <t>Tailscale</t>
        </is>
      </c>
      <c r="B10" s="12" t="inlineStr">
        <is>
          <t>Personal plan</t>
        </is>
      </c>
      <c r="C10" s="17" t="n">
        <v>0</v>
      </c>
      <c r="D10" s="18">
        <f>C10*$B$15</f>
        <v/>
      </c>
      <c r="E10" s="13" t="inlineStr">
        <is>
          <t>ssdnodes.com (2026-10-02)</t>
        </is>
      </c>
      <c r="F10" s="12" t="n"/>
    </row>
    <row r="11">
      <c r="A11" s="12" t="inlineStr">
        <is>
          <t>LLM — Bedrock India (expected, 3,000 turns)</t>
        </is>
      </c>
      <c r="B11" s="12" t="inlineStr">
        <is>
          <t>80% Haiku 4.5 / 20% Sonnet 5, +10% regional</t>
        </is>
      </c>
      <c r="C11" s="17" t="n">
        <v>15.9</v>
      </c>
      <c r="D11" s="18">
        <f>C11*$B$15</f>
        <v/>
      </c>
      <c r="E11" s="13" t="inlineStr">
        <is>
          <t>DESIGN.md §21.1; platform.claude.com pricing</t>
        </is>
      </c>
      <c r="F11" s="12" t="n"/>
    </row>
    <row r="13">
      <c r="A13" s="3" t="inlineStr">
        <is>
          <t>Total per month</t>
        </is>
      </c>
      <c r="B13" s="5" t="n"/>
      <c r="C13" s="19">
        <f>SUM(C2:C11)</f>
        <v/>
      </c>
      <c r="D13" s="20">
        <f>SUM(D2:D11)</f>
        <v/>
      </c>
    </row>
    <row r="14">
      <c r="A14" s="3" t="n"/>
      <c r="B14" s="5" t="n"/>
      <c r="C14" s="5" t="n"/>
      <c r="D14" s="5" t="n"/>
    </row>
    <row r="15">
      <c r="A15" s="3" t="inlineStr">
        <is>
          <t>Exchange rate (₹ per USD)</t>
        </is>
      </c>
      <c r="B15" s="21" t="n">
        <v>96.3</v>
      </c>
      <c r="C15" s="5" t="inlineStr">
        <is>
          <t>Mid-market, 2026-10-02, tradingeconomics.com</t>
        </is>
      </c>
      <c r="D15" s="5" t="n"/>
    </row>
    <row r="16">
      <c r="A16" s="3" t="inlineStr">
        <is>
          <t>Monthly budget (₹)</t>
        </is>
      </c>
      <c r="B16" s="22" t="n">
        <v>5000</v>
      </c>
      <c r="C16" s="5" t="inlineStr">
        <is>
          <t>Set by owner 2026-10-02 (BUD-20261002)</t>
        </is>
      </c>
      <c r="D16" s="5" t="n"/>
    </row>
    <row r="17">
      <c r="A17" s="3" t="inlineStr">
        <is>
          <t>Headroom (₹)</t>
        </is>
      </c>
      <c r="B17" s="9">
        <f>B16-D13</f>
        <v/>
      </c>
      <c r="C17" s="5" t="n"/>
      <c r="D17" s="5" t="n"/>
    </row>
    <row r="18">
      <c r="A18" s="3" t="inlineStr">
        <is>
          <t>Budget used</t>
        </is>
      </c>
      <c r="B18" s="10">
        <f>IFERROR(D13/B16,0)</f>
        <v/>
      </c>
      <c r="C18" s="5" t="n"/>
      <c r="D18" s="5" t="n"/>
    </row>
    <row r="19">
      <c r="A19" s="3" t="inlineStr">
        <is>
          <t>Fits budget?</t>
        </is>
      </c>
      <c r="B19" s="5">
        <f>IF(D13&lt;=B16,"Yes","No")</f>
        <v/>
      </c>
      <c r="C19" s="5" t="n"/>
      <c r="D19" s="5" t="n"/>
    </row>
    <row r="21">
      <c r="A21" s="23" t="inlineStr">
        <is>
          <t>Scope: text-only, Option B (private EC2 + Bedrock). Voice adds ≈ ₹1,580 (local) or ≈ ₹3,040 (AWS) — see DESIGN.md §21.3–21.4.</t>
        </is>
      </c>
    </row>
  </sheetData>
  <autoFilter ref="A1:F11"/>
  <conditionalFormatting sqref="E2:E200">
    <cfRule type="cellIs" priority="1" operator="equal" dxfId="1">
      <formula>"Not verified"</formula>
    </cfRule>
    <cfRule type="cellIs" priority="2" operator="equal" dxfId="0">
      <formula>"Verified"</formula>
    </cfRule>
  </conditionalFormatting>
  <conditionalFormatting sqref="B19">
    <cfRule type="cellIs" priority="3" operator="equal" dxfId="0">
      <formula>"Yes"</formula>
    </cfRule>
    <cfRule type="cellIs" priority="4" operator="equal" dxfId="2">
      <formula>"No"</formula>
    </cfRule>
  </conditionalFormatting>
  <dataValidations count="1">
    <dataValidation sqref="E2:E200" showDropDown="0" showInputMessage="0" showErrorMessage="0" allowBlank="1" type="list">
      <formula1>"Verified,Not verified,Estimate,Calculated"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30" customWidth="1" min="3" max="3"/>
    <col width="10" customWidth="1" min="4" max="4"/>
    <col width="14" customWidth="1" min="5" max="5"/>
  </cols>
  <sheetData>
    <row r="1">
      <c r="A1" s="11" t="inlineStr">
        <is>
          <t>Date</t>
        </is>
      </c>
      <c r="B1" s="11" t="inlineStr">
        <is>
          <t>Action</t>
        </is>
      </c>
      <c r="C1" s="11" t="inlineStr">
        <is>
          <t>Target</t>
        </is>
      </c>
      <c r="D1" s="11" t="inlineStr">
        <is>
          <t>Risk</t>
        </is>
      </c>
      <c r="E1" s="11" t="inlineStr">
        <is>
          <t>Approved by</t>
        </is>
      </c>
    </row>
    <row r="2">
      <c r="A2" s="14" t="n">
        <v>46297</v>
      </c>
      <c r="B2" s="13" t="inlineStr">
        <is>
          <t>Send architecture design (no secrets/personal data) to Figma</t>
        </is>
      </c>
      <c r="C2" s="13" t="inlineStr">
        <is>
          <t>Figma Inc. (FigJam)</t>
        </is>
      </c>
      <c r="D2" s="13" t="inlineStr">
        <is>
          <t>Low</t>
        </is>
      </c>
      <c r="E2" s="13" t="inlineStr">
        <is>
          <t>Owner</t>
        </is>
      </c>
    </row>
  </sheetData>
  <autoFilter ref="A1:E2"/>
  <dataValidations count="1">
    <dataValidation sqref="D2:D200" showDropDown="0" showInputMessage="0" showErrorMessage="0" allowBlank="1" type="list">
      <formula1>"Low,Medium,High"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4" customWidth="1" min="4" max="4"/>
    <col width="70" customWidth="1" min="5" max="5"/>
  </cols>
  <sheetData>
    <row r="1">
      <c r="A1" s="11" t="inlineStr">
        <is>
          <t>Document</t>
        </is>
      </c>
      <c r="B1" s="11" t="inlineStr">
        <is>
          <t>Version</t>
        </is>
      </c>
      <c r="C1" s="11" t="inlineStr">
        <is>
          <t>Date</t>
        </is>
      </c>
      <c r="D1" s="11" t="inlineStr">
        <is>
          <t>Type</t>
        </is>
      </c>
      <c r="E1" s="11" t="inlineStr">
        <is>
          <t>Summary</t>
        </is>
      </c>
    </row>
    <row r="2">
      <c r="A2" s="13" t="inlineStr">
        <is>
          <t>DESIGN.md</t>
        </is>
      </c>
      <c r="B2" s="13" t="inlineStr">
        <is>
          <t>0.1.0</t>
        </is>
      </c>
      <c r="C2" s="14" t="n">
        <v>46297</v>
      </c>
      <c r="D2" s="13" t="inlineStr">
        <is>
          <t>Initial draft</t>
        </is>
      </c>
      <c r="E2" s="13" t="inlineStr">
        <is>
          <t>Base plan: architecture, components, cost model, roadmap</t>
        </is>
      </c>
    </row>
    <row r="3">
      <c r="A3" s="13" t="inlineStr">
        <is>
          <t>DESIGN.md</t>
        </is>
      </c>
      <c r="B3" s="13" t="inlineStr">
        <is>
          <t>0.1.1</t>
        </is>
      </c>
      <c r="C3" s="14" t="n">
        <v>46297</v>
      </c>
      <c r="D3" s="13" t="inlineStr">
        <is>
          <t>Patch</t>
        </is>
      </c>
      <c r="E3" s="13" t="inlineStr">
        <is>
          <t>Budget set to ₹5,000/month; budget fit added</t>
        </is>
      </c>
    </row>
    <row r="4">
      <c r="A4" s="13" t="inlineStr">
        <is>
          <t>DESIGN.md</t>
        </is>
      </c>
      <c r="B4" s="13" t="inlineStr">
        <is>
          <t>0.1.2</t>
        </is>
      </c>
      <c r="C4" s="14" t="n">
        <v>46297</v>
      </c>
      <c r="D4" s="13" t="inlineStr">
        <is>
          <t>Patch</t>
        </is>
      </c>
      <c r="E4" s="13" t="inlineStr">
        <is>
          <t>FigJam board link; data exit X8 (Figma)</t>
        </is>
      </c>
    </row>
    <row r="5">
      <c r="A5" s="13" t="inlineStr">
        <is>
          <t>DESIGN.md</t>
        </is>
      </c>
      <c r="B5" s="13" t="inlineStr">
        <is>
          <t>0.1.3</t>
        </is>
      </c>
      <c r="C5" s="14" t="n">
        <v>46297</v>
      </c>
      <c r="D5" s="13" t="inlineStr">
        <is>
          <t>Patch</t>
        </is>
      </c>
      <c r="E5" s="13" t="inlineStr">
        <is>
          <t>Diagram images added (docs/diagrams/: jpg, svg, mmd)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2026-10-02T11:20:01Z</dcterms:created>
  <dcterms:modified xsi:type="dcterms:W3CDTF">2026-10-02T11:20:01Z</dcterms:modified>
</cp:coreProperties>
</file>