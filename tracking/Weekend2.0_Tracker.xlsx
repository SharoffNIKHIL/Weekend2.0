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Dashboard" sheetId="2" state="visible" r:id="rId2"/>
    <sheet name="Phases" sheetId="3" state="visible" r:id="rId3"/>
    <sheet name="Tasks" sheetId="4" state="visible" r:id="rId4"/>
    <sheet name="Decisions" sheetId="5" state="visible" r:id="rId5"/>
    <sheet name="Issues" sheetId="6" state="visible" r:id="rId6"/>
    <sheet name="Cost" sheetId="7" state="visible" r:id="rId7"/>
    <sheet name="Resources" sheetId="8" state="visible" r:id="rId8"/>
    <sheet name="Automation Scripts" sheetId="9" state="visible" r:id="rId9"/>
    <sheet name="Approvals" sheetId="10" state="visible" r:id="rId10"/>
    <sheet name="Doc versions" sheetId="11" state="visible" r:id="rId11"/>
  </sheets>
  <definedNames>
    <definedName name="_xlnm._FilterDatabase" localSheetId="2" hidden="1">'Phases'!$A$1:$J$8</definedName>
    <definedName name="_xlnm._FilterDatabase" localSheetId="3" hidden="1">'Tasks'!$A$1:$I$16</definedName>
    <definedName name="_xlnm._FilterDatabase" localSheetId="4" hidden="1">'Decisions'!$A$1:$H$7</definedName>
    <definedName name="_xlnm._FilterDatabase" localSheetId="5" hidden="1">'Issues'!$A$1:$G$7</definedName>
    <definedName name="_xlnm._FilterDatabase" localSheetId="6" hidden="1">'Cost'!$A$1:$F$11</definedName>
    <definedName name="_xlnm._FilterDatabase" localSheetId="7" hidden="1">'Resources'!$A$1:$N$40</definedName>
    <definedName name="_xlnm._FilterDatabase" localSheetId="8" hidden="1">'Automation Scripts'!$A$1:$L$22</definedName>
    <definedName name="_xlnm._FilterDatabase" localSheetId="9" hidden="1">'Approvals'!$A$1:$E$2</definedName>
    <definedName name="_xlnm._FilterDatabase" localSheetId="10" hidden="1">'Doc versions'!$A$1:$E$5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₹#,##0;(₹#,##0);&quot;-&quot;"/>
    <numFmt numFmtId="166" formatCode="0.0%"/>
    <numFmt numFmtId="167" formatCode="$#,##0.00;($#,##0.00);&quot;-&quot;"/>
    <numFmt numFmtId="168" formatCode="$#,##0.00"/>
    <numFmt numFmtId="169" formatCode="₹#,##0"/>
    <numFmt numFmtId="170" formatCode="$#,##0.000;($#,##0.000);&quot;-&quot;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color rgb="000000FF"/>
      <sz val="10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2" borderId="0" applyAlignment="1" pivotButton="0" quotePrefix="0" xfId="0">
      <alignment vertical="top" wrapText="1"/>
    </xf>
    <xf numFmtId="0" fontId="2" fillId="0" borderId="0" pivotButton="0" quotePrefix="0" xfId="0"/>
    <xf numFmtId="164" fontId="2" fillId="0" borderId="0" pivotButton="0" quotePrefix="0" xfId="0"/>
    <xf numFmtId="9" fontId="2" fillId="0" borderId="0" pivotButton="0" quotePrefix="0" xfId="0"/>
    <xf numFmtId="0" fontId="4" fillId="3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4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8" fontId="2" fillId="0" borderId="0" pivotButton="0" quotePrefix="0" xfId="0"/>
    <xf numFmtId="169" fontId="3" fillId="0" borderId="0" pivotButton="0" quotePrefix="0" xfId="0"/>
    <xf numFmtId="2" fontId="5" fillId="2" borderId="0" pivotButton="0" quotePrefix="0" xfId="0"/>
    <xf numFmtId="169" fontId="5" fillId="2" borderId="0" pivotButton="0" quotePrefix="0" xfId="0"/>
    <xf numFmtId="0" fontId="6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70" fontId="5" fillId="2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 wrapText="1"/>
    </xf>
    <xf numFmtId="168" fontId="2" fillId="0" borderId="0" pivotButton="0" quotePrefix="0" xfId="0"/>
    <xf numFmtId="169" fontId="3" fillId="0" borderId="0" pivotButton="0" quotePrefix="0" xfId="0"/>
    <xf numFmtId="169" fontId="5" fillId="2" borderId="0" pivotButton="0" quotePrefix="0" xfId="0"/>
    <xf numFmtId="169" fontId="2" fillId="0" borderId="0" pivotButton="0" quotePrefix="0" xfId="0"/>
    <xf numFmtId="168" fontId="3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Weekend tracker</author>
  </authors>
  <commentList>
    <comment ref="B2" authorId="0" shapeId="0">
      <text>
        <t>Project start date (from PROJECT_MEMORY.md M1).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95" customWidth="1" min="2" max="2"/>
  </cols>
  <sheetData>
    <row r="1">
      <c r="A1" s="1" t="inlineStr">
        <is>
          <t>Weekend 2.0 — Project Tracker</t>
        </is>
      </c>
      <c r="B1" s="2" t="inlineStr"/>
    </row>
    <row r="2">
      <c r="A2" s="3" t="inlineStr">
        <is>
          <t>Created</t>
        </is>
      </c>
      <c r="B2" s="2" t="inlineStr">
        <is>
          <t>2026-10-02 (IST). Source of truth is PROJECT_MEMORY.md; this workbook is a working view of it.</t>
        </is>
      </c>
    </row>
    <row r="3">
      <c r="A3" s="3" t="inlineStr"/>
      <c r="B3" s="2" t="inlineStr"/>
    </row>
    <row r="4">
      <c r="A4" s="3" t="inlineStr">
        <is>
          <t>Cells to edit</t>
        </is>
      </c>
      <c r="B4" s="4" t="inlineStr">
        <is>
          <t>Yellow-shaded cells are inputs: status, dates, notes, final choices, cost figures. Do not edit white formula cells.</t>
        </is>
      </c>
    </row>
    <row r="5">
      <c r="A5" s="3" t="inlineStr">
        <is>
          <t>Add a row</t>
        </is>
      </c>
      <c r="B5" s="2" t="inlineStr">
        <is>
          <t>Type in the next empty row of Tasks / Issues / Decisions / Approvals. Dashboard and Phases update automatically (rows 2–200).</t>
        </is>
      </c>
    </row>
    <row r="6">
      <c r="A6" s="3" t="inlineStr">
        <is>
          <t>Task / Phase status</t>
        </is>
      </c>
      <c r="B6" s="2" t="inlineStr">
        <is>
          <t>Not started · In progress · Blocked · Done (pick from the dropdown).</t>
        </is>
      </c>
    </row>
    <row r="7">
      <c r="A7" s="3" t="inlineStr">
        <is>
          <t>Decision status</t>
        </is>
      </c>
      <c r="B7" s="2" t="inlineStr">
        <is>
          <t>Open · Provisional · Decided. Decide in order D1 → D2 → D4 → D5 → D6 → D3.</t>
        </is>
      </c>
    </row>
    <row r="8">
      <c r="A8" s="3" t="inlineStr">
        <is>
          <t>Issue severity</t>
        </is>
      </c>
      <c r="B8" s="2" t="inlineStr">
        <is>
          <t>Critical · High · Medium · Low. Status: Open · Closed.</t>
        </is>
      </c>
    </row>
    <row r="9">
      <c r="A9" s="3" t="inlineStr">
        <is>
          <t>Dates</t>
        </is>
      </c>
      <c r="B9" s="2" t="inlineStr">
        <is>
          <t>Format yyyy-mm-dd (IST).</t>
        </is>
      </c>
    </row>
    <row r="10">
      <c r="A10" s="3" t="inlineStr">
        <is>
          <t>Cost sheet</t>
        </is>
      </c>
      <c r="B10" s="2" t="inlineStr">
        <is>
          <t>Blue numbers are inputs from DESIGN.md §21 (prices checked 2026-10-02). INR is calculated from the exchange-rate cell. Re-check 'Not verified' rows in the AWS Pricing Calculator.</t>
        </is>
      </c>
    </row>
    <row r="11">
      <c r="A11" s="3" t="inlineStr">
        <is>
          <t>Update routine</t>
        </is>
      </c>
      <c r="B11" s="2" t="inlineStr">
        <is>
          <t>After each working session: update Tasks/Issues here, then run `save project` so PROJECT_MEMORY.md matches.</t>
        </is>
      </c>
    </row>
    <row r="12">
      <c r="A12" s="3" t="inlineStr">
        <is>
          <t>Rules</t>
        </is>
      </c>
      <c r="B12" s="2" t="inlineStr">
        <is>
          <t>No secrets, account IDs or real IPs in this workbook.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Weekend 2.0 — Project Dashboard</t>
        </is>
      </c>
    </row>
    <row r="2">
      <c r="A2" s="5" t="inlineStr">
        <is>
          <t>Project start</t>
        </is>
      </c>
      <c r="B2" s="6" t="n">
        <v>46297</v>
      </c>
      <c r="C2" s="5" t="n"/>
      <c r="D2" s="5" t="n"/>
    </row>
    <row r="3">
      <c r="A3" s="5" t="inlineStr">
        <is>
          <t>Days since start</t>
        </is>
      </c>
      <c r="B3" s="5">
        <f>TODAY()-B2</f>
        <v/>
      </c>
      <c r="C3" s="5" t="n"/>
      <c r="D3" s="5" t="n"/>
    </row>
    <row r="4">
      <c r="A4" s="5" t="n"/>
      <c r="B4" s="5" t="n"/>
      <c r="C4" s="5" t="n"/>
      <c r="D4" s="5" t="n"/>
    </row>
    <row r="5">
      <c r="A5" s="3" t="inlineStr">
        <is>
          <t>Tasks</t>
        </is>
      </c>
      <c r="B5" s="5" t="n"/>
      <c r="C5" s="5" t="n"/>
      <c r="D5" s="5" t="n"/>
    </row>
    <row r="6">
      <c r="A6" s="5" t="inlineStr">
        <is>
          <t>Total tasks</t>
        </is>
      </c>
      <c r="B6" s="5">
        <f>COUNTA(Tasks!$A$2:$A$200)</f>
        <v/>
      </c>
      <c r="C6" s="5" t="n"/>
      <c r="D6" s="5" t="n"/>
    </row>
    <row r="7">
      <c r="A7" s="5" t="inlineStr">
        <is>
          <t>Done</t>
        </is>
      </c>
      <c r="B7" s="5">
        <f>COUNTIF(Tasks!$E$2:$E$200,"Done")</f>
        <v/>
      </c>
      <c r="C7" s="5" t="n"/>
      <c r="D7" s="5" t="n"/>
    </row>
    <row r="8">
      <c r="A8" s="5" t="inlineStr">
        <is>
          <t>In progress</t>
        </is>
      </c>
      <c r="B8" s="5">
        <f>COUNTIF(Tasks!$E$2:$E$200,"In progress")</f>
        <v/>
      </c>
      <c r="C8" s="5" t="n"/>
      <c r="D8" s="5" t="n"/>
    </row>
    <row r="9">
      <c r="A9" s="5" t="inlineStr">
        <is>
          <t>Blocked</t>
        </is>
      </c>
      <c r="B9" s="5">
        <f>COUNTIF(Tasks!$E$2:$E$200,"Blocked")</f>
        <v/>
      </c>
      <c r="C9" s="5" t="n"/>
      <c r="D9" s="5" t="n"/>
    </row>
    <row r="10">
      <c r="A10" s="5" t="inlineStr">
        <is>
          <t>Not started</t>
        </is>
      </c>
      <c r="B10" s="5">
        <f>COUNTIF(Tasks!$E$2:$E$200,"Not started")</f>
        <v/>
      </c>
      <c r="C10" s="5" t="n"/>
      <c r="D10" s="5" t="n"/>
    </row>
    <row r="11">
      <c r="A11" s="5" t="inlineStr">
        <is>
          <t>Overall % done</t>
        </is>
      </c>
      <c r="B11" s="7">
        <f>IFERROR(B7/B6,0)</f>
        <v/>
      </c>
      <c r="C11" s="5" t="n"/>
      <c r="D11" s="5" t="n"/>
    </row>
    <row r="12">
      <c r="A12" s="5" t="inlineStr">
        <is>
          <t>Critical tasks not done</t>
        </is>
      </c>
      <c r="B12" s="5">
        <f>COUNTIFS(Tasks!$D$2:$D$200,"Critical",Tasks!$E$2:$E$200,"&lt;&gt;Done")</f>
        <v/>
      </c>
      <c r="C12" s="5" t="n"/>
      <c r="D12" s="5" t="n"/>
    </row>
    <row r="13">
      <c r="A13" s="5" t="n"/>
      <c r="B13" s="5" t="n"/>
      <c r="C13" s="5" t="n"/>
      <c r="D13" s="5" t="n"/>
    </row>
    <row r="14">
      <c r="A14" s="3" t="inlineStr">
        <is>
          <t>Phases</t>
        </is>
      </c>
      <c r="B14" s="5" t="n"/>
      <c r="C14" s="5" t="n"/>
      <c r="D14" s="5" t="n"/>
    </row>
    <row r="15">
      <c r="A15" s="8" t="inlineStr">
        <is>
          <t>Phase</t>
        </is>
      </c>
      <c r="B15" s="8" t="inlineStr">
        <is>
          <t>Status</t>
        </is>
      </c>
      <c r="C15" s="8" t="inlineStr">
        <is>
          <t>Tasks done %</t>
        </is>
      </c>
      <c r="D15" s="5" t="n"/>
    </row>
    <row r="16">
      <c r="A16" s="5">
        <f>Phases!A2&amp;" — "&amp;Phases!B2</f>
        <v/>
      </c>
      <c r="B16" s="5">
        <f>Phases!D2</f>
        <v/>
      </c>
      <c r="C16" s="7">
        <f>Phases!I2</f>
        <v/>
      </c>
      <c r="D16" s="5" t="n"/>
    </row>
    <row r="17">
      <c r="A17" s="5">
        <f>Phases!A3&amp;" — "&amp;Phases!B3</f>
        <v/>
      </c>
      <c r="B17" s="5">
        <f>Phases!D3</f>
        <v/>
      </c>
      <c r="C17" s="7">
        <f>Phases!I3</f>
        <v/>
      </c>
      <c r="D17" s="5" t="n"/>
    </row>
    <row r="18">
      <c r="A18" s="5">
        <f>Phases!A4&amp;" — "&amp;Phases!B4</f>
        <v/>
      </c>
      <c r="B18" s="5">
        <f>Phases!D4</f>
        <v/>
      </c>
      <c r="C18" s="7">
        <f>Phases!I4</f>
        <v/>
      </c>
      <c r="D18" s="5" t="n"/>
    </row>
    <row r="19">
      <c r="A19" s="5">
        <f>Phases!A5&amp;" — "&amp;Phases!B5</f>
        <v/>
      </c>
      <c r="B19" s="5">
        <f>Phases!D5</f>
        <v/>
      </c>
      <c r="C19" s="7">
        <f>Phases!I5</f>
        <v/>
      </c>
      <c r="D19" s="5" t="n"/>
    </row>
    <row r="20">
      <c r="A20" s="5">
        <f>Phases!A6&amp;" — "&amp;Phases!B6</f>
        <v/>
      </c>
      <c r="B20" s="5">
        <f>Phases!D6</f>
        <v/>
      </c>
      <c r="C20" s="7">
        <f>Phases!I6</f>
        <v/>
      </c>
      <c r="D20" s="5" t="n"/>
    </row>
    <row r="21">
      <c r="A21" s="5">
        <f>Phases!A7&amp;" — "&amp;Phases!B7</f>
        <v/>
      </c>
      <c r="B21" s="5">
        <f>Phases!D7</f>
        <v/>
      </c>
      <c r="C21" s="7">
        <f>Phases!I7</f>
        <v/>
      </c>
      <c r="D21" s="5" t="n"/>
    </row>
    <row r="22">
      <c r="A22" s="5">
        <f>Phases!A8&amp;" — "&amp;Phases!B8</f>
        <v/>
      </c>
      <c r="B22" s="5">
        <f>Phases!D8</f>
        <v/>
      </c>
      <c r="C22" s="7">
        <f>Phases!I8</f>
        <v/>
      </c>
      <c r="D22" s="5" t="n"/>
    </row>
    <row r="23">
      <c r="A23" s="5" t="n"/>
      <c r="B23" s="5" t="n"/>
      <c r="C23" s="5" t="n"/>
      <c r="D23" s="5" t="n"/>
    </row>
    <row r="24">
      <c r="A24" s="3" t="inlineStr">
        <is>
          <t>Decisions (D1 → D2 → D4 → D5 → D6 → D3)</t>
        </is>
      </c>
      <c r="B24" s="5" t="n"/>
      <c r="C24" s="5" t="n"/>
      <c r="D24" s="5" t="n"/>
    </row>
    <row r="25">
      <c r="A25" s="5" t="inlineStr">
        <is>
          <t>Open</t>
        </is>
      </c>
      <c r="B25" s="5">
        <f>COUNTIF(Decisions!$D$2:$D$200,"Open")</f>
        <v/>
      </c>
      <c r="C25" s="5" t="n"/>
      <c r="D25" s="5" t="n"/>
    </row>
    <row r="26">
      <c r="A26" s="5" t="inlineStr">
        <is>
          <t>Provisional</t>
        </is>
      </c>
      <c r="B26" s="5">
        <f>COUNTIF(Decisions!$D$2:$D$200,"Provisional")</f>
        <v/>
      </c>
      <c r="C26" s="5" t="n"/>
      <c r="D26" s="5" t="n"/>
    </row>
    <row r="27">
      <c r="A27" s="5" t="inlineStr">
        <is>
          <t>Decided</t>
        </is>
      </c>
      <c r="B27" s="5">
        <f>COUNTIF(Decisions!$D$2:$D$200,"Decided")</f>
        <v/>
      </c>
      <c r="C27" s="5" t="n"/>
      <c r="D27" s="5" t="n"/>
    </row>
    <row r="28">
      <c r="A28" s="5" t="inlineStr">
        <is>
          <t>Next decision</t>
        </is>
      </c>
      <c r="B28" s="5">
        <f>IF(COUNTIF(Decisions!$D$2:$D$200,"Decided")&gt;=COUNTA(Decisions!$A$2:$A$200),"All decided",INDEX(Decisions!$A$2:$A$200,COUNTIF(Decisions!$D$2:$D$200,"Decided")+1)&amp;" — "&amp;INDEX(Decisions!$C$2:$C$200,COUNTIF(Decisions!$D$2:$D$200,"Decided")+1))</f>
        <v/>
      </c>
      <c r="C28" s="5" t="n"/>
      <c r="D28" s="5" t="n"/>
    </row>
    <row r="29">
      <c r="A29" s="5" t="n"/>
      <c r="B29" s="5" t="n"/>
      <c r="C29" s="5" t="n"/>
      <c r="D29" s="5" t="n"/>
    </row>
    <row r="30">
      <c r="A30" s="3" t="inlineStr">
        <is>
          <t>Open issues by severity</t>
        </is>
      </c>
      <c r="B30" s="5" t="n"/>
      <c r="C30" s="5" t="n"/>
      <c r="D30" s="5" t="n"/>
    </row>
    <row r="31">
      <c r="A31" s="5" t="inlineStr">
        <is>
          <t>Critical</t>
        </is>
      </c>
      <c r="B31" s="5">
        <f>COUNTIFS(Issues!$C$2:$C$200,"Critical",Issues!$E$2:$E$200,"Open")</f>
        <v/>
      </c>
      <c r="C31" s="5" t="n"/>
      <c r="D31" s="5" t="n"/>
    </row>
    <row r="32">
      <c r="A32" s="5" t="inlineStr">
        <is>
          <t>High</t>
        </is>
      </c>
      <c r="B32" s="5">
        <f>COUNTIFS(Issues!$C$2:$C$200,"High",Issues!$E$2:$E$200,"Open")</f>
        <v/>
      </c>
      <c r="C32" s="5" t="n"/>
      <c r="D32" s="5" t="n"/>
    </row>
    <row r="33">
      <c r="A33" s="5" t="inlineStr">
        <is>
          <t>Medium</t>
        </is>
      </c>
      <c r="B33" s="5">
        <f>COUNTIFS(Issues!$C$2:$C$200,"Medium",Issues!$E$2:$E$200,"Open")</f>
        <v/>
      </c>
      <c r="C33" s="5" t="n"/>
      <c r="D33" s="5" t="n"/>
    </row>
    <row r="34">
      <c r="A34" s="5" t="inlineStr">
        <is>
          <t>Low</t>
        </is>
      </c>
      <c r="B34" s="5">
        <f>COUNTIFS(Issues!$C$2:$C$200,"Low",Issues!$E$2:$E$200,"Open")</f>
        <v/>
      </c>
      <c r="C34" s="5" t="n"/>
      <c r="D34" s="5" t="n"/>
    </row>
    <row r="35">
      <c r="A35" s="5" t="inlineStr">
        <is>
          <t>Total open</t>
        </is>
      </c>
      <c r="B35" s="5">
        <f>SUM(B31:B34)</f>
        <v/>
      </c>
      <c r="C35" s="5" t="n"/>
      <c r="D35" s="5" t="n"/>
    </row>
    <row r="36">
      <c r="A36" s="5" t="n"/>
      <c r="B36" s="5" t="n"/>
      <c r="C36" s="5" t="n"/>
      <c r="D36" s="5" t="n"/>
    </row>
    <row r="37">
      <c r="A37" s="3" t="inlineStr">
        <is>
          <t>Cost vs budget (monthly)</t>
        </is>
      </c>
      <c r="B37" s="5" t="n"/>
      <c r="C37" s="5" t="n"/>
      <c r="D37" s="5" t="n"/>
    </row>
    <row r="38">
      <c r="A38" s="5" t="inlineStr">
        <is>
          <t>Estimated cost (₹)</t>
        </is>
      </c>
      <c r="B38" s="24">
        <f>Cost!D13</f>
        <v/>
      </c>
      <c r="C38" s="5" t="n"/>
      <c r="D38" s="5" t="n"/>
    </row>
    <row r="39">
      <c r="A39" s="5" t="inlineStr">
        <is>
          <t>Budget (₹)</t>
        </is>
      </c>
      <c r="B39" s="24">
        <f>Cost!B16</f>
        <v/>
      </c>
      <c r="C39" s="5" t="n"/>
      <c r="D39" s="5" t="n"/>
    </row>
    <row r="40">
      <c r="A40" s="5" t="inlineStr">
        <is>
          <t>Headroom (₹)</t>
        </is>
      </c>
      <c r="B40" s="24">
        <f>Cost!B17</f>
        <v/>
      </c>
      <c r="C40" s="5" t="n"/>
      <c r="D40" s="5" t="n"/>
    </row>
    <row r="41">
      <c r="A41" s="5" t="inlineStr">
        <is>
          <t>Budget used</t>
        </is>
      </c>
      <c r="B41" s="25">
        <f>Cost!B18</f>
        <v/>
      </c>
      <c r="C41" s="5" t="n"/>
      <c r="D41" s="5" t="n"/>
    </row>
    <row r="42">
      <c r="A42" s="5" t="inlineStr">
        <is>
          <t>Fits budget?</t>
        </is>
      </c>
      <c r="B42" s="5">
        <f>Cost!B19</f>
        <v/>
      </c>
      <c r="C42" s="5" t="n"/>
      <c r="D42" s="5" t="n"/>
    </row>
    <row r="44">
      <c r="A44" s="3" t="inlineStr">
        <is>
          <t>Infrastructure (Terraform — PROVISIONAL)</t>
        </is>
      </c>
    </row>
    <row r="45">
      <c r="A45" s="5" t="inlineStr">
        <is>
          <t>Resources tracked</t>
        </is>
      </c>
      <c r="B45" s="5">
        <f>COUNTA(Resources!$B$2:$B$40)</f>
        <v/>
      </c>
    </row>
    <row r="46">
      <c r="A46" s="5" t="inlineStr">
        <is>
          <t>Resources applied</t>
        </is>
      </c>
      <c r="B46" s="5">
        <f>COUNTIF(Resources!$M$2:$M$200,"Applied")</f>
        <v/>
      </c>
    </row>
    <row r="47">
      <c r="A47" s="5" t="inlineStr">
        <is>
          <t>E2 estimated cost (₹/month)</t>
        </is>
      </c>
      <c r="B47" s="32">
        <f>Resources!J42</f>
        <v/>
      </c>
    </row>
    <row r="48">
      <c r="A48" s="5" t="inlineStr">
        <is>
          <t>E2 fits budget?</t>
        </is>
      </c>
      <c r="B48" s="5">
        <f>Resources!J45</f>
        <v/>
      </c>
    </row>
    <row r="49">
      <c r="A49" s="5" t="inlineStr">
        <is>
          <t>Automation scripts planned</t>
        </is>
      </c>
      <c r="B49" s="5">
        <f>COUNTA('Automation Scripts'!$A$2:$A$22)</f>
        <v/>
      </c>
    </row>
    <row r="50">
      <c r="A50" s="5" t="inlineStr">
        <is>
          <t>High-priority scripts not done</t>
        </is>
      </c>
      <c r="B50" s="5">
        <f>COUNTIFS('Automation Scripts'!$J$2:$J$200,"High",'Automation Scripts'!$K$2:$K$200,"&lt;&gt;Done")</f>
        <v/>
      </c>
    </row>
  </sheetData>
  <conditionalFormatting sqref="B2:B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B42">
    <cfRule type="cellIs" priority="5" operator="equal" dxfId="0">
      <formula>"Yes"</formula>
    </cfRule>
    <cfRule type="cellIs" priority="6" operator="equal" dxfId="2">
      <formula>"No"</formula>
    </cfRule>
  </conditionalFormatting>
  <conditionalFormatting sqref="B9">
    <cfRule type="cellIs" priority="7" operator="greaterThan" dxfId="2">
      <formula>0</formula>
    </cfRule>
  </conditionalFormatting>
  <conditionalFormatting sqref="B12">
    <cfRule type="cellIs" priority="8" operator="greaterThan" dxfId="2">
      <formula>0</formula>
    </cfRule>
  </conditionalFormatting>
  <conditionalFormatting sqref="B48">
    <cfRule type="cellIs" priority="9" operator="equal" dxfId="0">
      <formula>"Yes"</formula>
    </cfRule>
    <cfRule type="cellIs" priority="10" operator="equal" dxfId="2">
      <formula>"No"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8" customWidth="1" min="3" max="3"/>
    <col width="14" customWidth="1" min="4" max="4"/>
    <col width="12" customWidth="1" min="5" max="5"/>
    <col width="12" customWidth="1" min="6" max="6"/>
    <col width="12" customWidth="1" min="7" max="7"/>
    <col width="40" customWidth="1" min="8" max="8"/>
    <col width="13" customWidth="1" min="9" max="9"/>
    <col width="16" customWidth="1" min="10" max="10"/>
  </cols>
  <sheetData>
    <row r="1">
      <c r="A1" s="11" t="inlineStr">
        <is>
          <t>Phase</t>
        </is>
      </c>
      <c r="B1" s="11" t="inlineStr">
        <is>
          <t>Name</t>
        </is>
      </c>
      <c r="C1" s="11" t="inlineStr">
        <is>
          <t>Exit criteria</t>
        </is>
      </c>
      <c r="D1" s="11" t="inlineStr">
        <is>
          <t>Status</t>
        </is>
      </c>
      <c r="E1" s="11" t="inlineStr">
        <is>
          <t>Start</t>
        </is>
      </c>
      <c r="F1" s="11" t="inlineStr">
        <is>
          <t>Target</t>
        </is>
      </c>
      <c r="G1" s="11" t="inlineStr">
        <is>
          <t>Done</t>
        </is>
      </c>
      <c r="H1" s="11" t="inlineStr">
        <is>
          <t>Evidence</t>
        </is>
      </c>
      <c r="I1" s="11" t="inlineStr">
        <is>
          <t>Tasks done %</t>
        </is>
      </c>
      <c r="J1" s="11" t="inlineStr">
        <is>
          <t>Tasks (done / total)</t>
        </is>
      </c>
    </row>
    <row r="2">
      <c r="A2" s="12" t="n">
        <v>0</v>
      </c>
      <c r="B2" s="12" t="inlineStr">
        <is>
          <t>Requirements &amp; architecture</t>
        </is>
      </c>
      <c r="C2" s="12" t="inlineStr">
        <is>
          <t>D1–D4 decided; diagram and cost estimate approved</t>
        </is>
      </c>
      <c r="D2" s="13" t="inlineStr">
        <is>
          <t>In progress</t>
        </is>
      </c>
      <c r="E2" s="14" t="n">
        <v>46297</v>
      </c>
      <c r="F2" s="14" t="n"/>
      <c r="G2" s="14" t="n"/>
      <c r="H2" s="13" t="inlineStr">
        <is>
          <t>DESIGN.md v0.1.3; diagrams 01–05; READMEs</t>
        </is>
      </c>
      <c r="I2" s="15">
        <f>IFERROR(COUNTIFS(Tasks!$B$2:$B$200,A2,Tasks!$E$2:$E$200,"Done")/COUNTIF(Tasks!$B$2:$B$200,A2),0)</f>
        <v/>
      </c>
      <c r="J2" s="12">
        <f>COUNTIFS(Tasks!$B$2:$B$200,A2,Tasks!$E$2:$E$200,"Done")&amp;" / "&amp;COUNTIF(Tasks!$B$2:$B$200,A2)</f>
        <v/>
      </c>
    </row>
    <row r="3">
      <c r="A3" s="12" t="n">
        <v>1</v>
      </c>
      <c r="B3" s="12" t="inlineStr">
        <is>
          <t>MVP backend</t>
        </is>
      </c>
      <c r="C3" s="12" t="inlineStr">
        <is>
          <t>Agent core answers via a test interface, with unit tests</t>
        </is>
      </c>
      <c r="D3" s="13" t="inlineStr">
        <is>
          <t>Not started</t>
        </is>
      </c>
      <c r="E3" s="14" t="n"/>
      <c r="F3" s="14" t="n"/>
      <c r="G3" s="14" t="n"/>
      <c r="H3" s="13" t="inlineStr"/>
      <c r="I3" s="15">
        <f>IFERROR(COUNTIFS(Tasks!$B$2:$B$200,A3,Tasks!$E$2:$E$200,"Done")/COUNTIF(Tasks!$B$2:$B$200,A3),0)</f>
        <v/>
      </c>
      <c r="J3" s="12">
        <f>COUNTIFS(Tasks!$B$2:$B$200,A3,Tasks!$E$2:$E$200,"Done")&amp;" / "&amp;COUNTIF(Tasks!$B$2:$B$200,A3)</f>
        <v/>
      </c>
    </row>
    <row r="4">
      <c r="A4" s="12" t="n">
        <v>2</v>
      </c>
      <c r="B4" s="12" t="inlineStr">
        <is>
          <t>Mobile access</t>
        </is>
      </c>
      <c r="C4" s="12" t="inlineStr">
        <is>
          <t>Owner uses it from the phone securely (D6, TLS)</t>
        </is>
      </c>
      <c r="D4" s="13" t="inlineStr">
        <is>
          <t>Not started</t>
        </is>
      </c>
      <c r="E4" s="14" t="n"/>
      <c r="F4" s="14" t="n"/>
      <c r="G4" s="14" t="n"/>
      <c r="H4" s="13" t="inlineStr"/>
      <c r="I4" s="15">
        <f>IFERROR(COUNTIFS(Tasks!$B$2:$B$200,A4,Tasks!$E$2:$E$200,"Done")/COUNTIF(Tasks!$B$2:$B$200,A4),0)</f>
        <v/>
      </c>
      <c r="J4" s="12">
        <f>COUNTIFS(Tasks!$B$2:$B$200,A4,Tasks!$E$2:$E$200,"Done")&amp;" / "&amp;COUNTIF(Tasks!$B$2:$B$200,A4)</f>
        <v/>
      </c>
    </row>
    <row r="5">
      <c r="A5" s="12" t="n">
        <v>3</v>
      </c>
      <c r="B5" s="12" t="inlineStr">
        <is>
          <t>Memory &amp; storage</t>
        </is>
      </c>
      <c r="C5" s="12" t="inlineStr">
        <is>
          <t>Encrypted, owner-controlled memory with retention, export, delete</t>
        </is>
      </c>
      <c r="D5" s="13" t="inlineStr">
        <is>
          <t>Not started</t>
        </is>
      </c>
      <c r="E5" s="14" t="n"/>
      <c r="F5" s="14" t="n"/>
      <c r="G5" s="14" t="n"/>
      <c r="H5" s="13" t="inlineStr"/>
      <c r="I5" s="15">
        <f>IFERROR(COUNTIFS(Tasks!$B$2:$B$200,A5,Tasks!$E$2:$E$200,"Done")/COUNTIF(Tasks!$B$2:$B$200,A5),0)</f>
        <v/>
      </c>
      <c r="J5" s="12">
        <f>COUNTIFS(Tasks!$B$2:$B$200,A5,Tasks!$E$2:$E$200,"Done")&amp;" / "&amp;COUNTIF(Tasks!$B$2:$B$200,A5)</f>
        <v/>
      </c>
    </row>
    <row r="6">
      <c r="A6" s="12" t="n">
        <v>4</v>
      </c>
      <c r="B6" s="12" t="inlineStr">
        <is>
          <t>Security hardening</t>
        </is>
      </c>
      <c r="C6" s="12" t="inlineStr">
        <is>
          <t>Threat model done; P1–P10 verified in M7</t>
        </is>
      </c>
      <c r="D6" s="13" t="inlineStr">
        <is>
          <t>Not started</t>
        </is>
      </c>
      <c r="E6" s="14" t="n"/>
      <c r="F6" s="14" t="n"/>
      <c r="G6" s="14" t="n"/>
      <c r="H6" s="13" t="inlineStr"/>
      <c r="I6" s="15">
        <f>IFERROR(COUNTIFS(Tasks!$B$2:$B$200,A6,Tasks!$E$2:$E$200,"Done")/COUNTIF(Tasks!$B$2:$B$200,A6),0)</f>
        <v/>
      </c>
      <c r="J6" s="12">
        <f>COUNTIFS(Tasks!$B$2:$B$200,A6,Tasks!$E$2:$E$200,"Done")&amp;" / "&amp;COUNTIF(Tasks!$B$2:$B$200,A6)</f>
        <v/>
      </c>
    </row>
    <row r="7">
      <c r="A7" s="12" t="n">
        <v>5</v>
      </c>
      <c r="B7" s="12" t="inlineStr">
        <is>
          <t>CI/CD &amp; IaC</t>
        </is>
      </c>
      <c r="C7" s="12" t="inlineStr">
        <is>
          <t>All infra in Terraform; pipelines build, test, deploy</t>
        </is>
      </c>
      <c r="D7" s="13" t="inlineStr">
        <is>
          <t>Not started</t>
        </is>
      </c>
      <c r="E7" s="14" t="n"/>
      <c r="F7" s="14" t="n"/>
      <c r="G7" s="14" t="n"/>
      <c r="H7" s="13" t="inlineStr"/>
      <c r="I7" s="15">
        <f>IFERROR(COUNTIFS(Tasks!$B$2:$B$200,A7,Tasks!$E$2:$E$200,"Done")/COUNTIF(Tasks!$B$2:$B$200,A7),0)</f>
        <v/>
      </c>
      <c r="J7" s="12">
        <f>COUNTIFS(Tasks!$B$2:$B$200,A7,Tasks!$E$2:$E$200,"Done")&amp;" / "&amp;COUNTIF(Tasks!$B$2:$B$200,A7)</f>
        <v/>
      </c>
    </row>
    <row r="8">
      <c r="A8" s="12" t="n">
        <v>6</v>
      </c>
      <c r="B8" s="12" t="inlineStr">
        <is>
          <t>Monitoring &amp; ops</t>
        </is>
      </c>
      <c r="C8" s="12" t="inlineStr">
        <is>
          <t>Logs, alerts, backups; restore tested</t>
        </is>
      </c>
      <c r="D8" s="13" t="inlineStr">
        <is>
          <t>Not started</t>
        </is>
      </c>
      <c r="E8" s="14" t="n"/>
      <c r="F8" s="14" t="n"/>
      <c r="G8" s="14" t="n"/>
      <c r="H8" s="13" t="inlineStr"/>
      <c r="I8" s="15">
        <f>IFERROR(COUNTIFS(Tasks!$B$2:$B$200,A8,Tasks!$E$2:$E$200,"Done")/COUNTIF(Tasks!$B$2:$B$200,A8),0)</f>
        <v/>
      </c>
      <c r="J8" s="12">
        <f>COUNTIFS(Tasks!$B$2:$B$200,A8,Tasks!$E$2:$E$200,"Done")&amp;" / "&amp;COUNTIF(Tasks!$B$2:$B$200,A8)</f>
        <v/>
      </c>
    </row>
  </sheetData>
  <autoFilter ref="A1:J8"/>
  <conditionalFormatting sqref="D2:D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1">
    <dataValidation sqref="D2:D200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52" customWidth="1" min="3" max="3"/>
    <col width="11" customWidth="1" min="4" max="4"/>
    <col width="14" customWidth="1" min="5" max="5"/>
    <col width="12" customWidth="1" min="6" max="6"/>
    <col width="12" customWidth="1" min="7" max="7"/>
    <col width="12" customWidth="1" min="8" max="8"/>
    <col width="40" customWidth="1" min="9" max="9"/>
  </cols>
  <sheetData>
    <row r="1">
      <c r="A1" s="11" t="inlineStr">
        <is>
          <t>ID</t>
        </is>
      </c>
      <c r="B1" s="11" t="inlineStr">
        <is>
          <t>Phase</t>
        </is>
      </c>
      <c r="C1" s="11" t="inlineStr">
        <is>
          <t>Task</t>
        </is>
      </c>
      <c r="D1" s="11" t="inlineStr">
        <is>
          <t>Priority</t>
        </is>
      </c>
      <c r="E1" s="11" t="inlineStr">
        <is>
          <t>Status</t>
        </is>
      </c>
      <c r="F1" s="11" t="inlineStr">
        <is>
          <t>Start</t>
        </is>
      </c>
      <c r="G1" s="11" t="inlineStr">
        <is>
          <t>Due</t>
        </is>
      </c>
      <c r="H1" s="11" t="inlineStr">
        <is>
          <t>Done</t>
        </is>
      </c>
      <c r="I1" s="11" t="inlineStr">
        <is>
          <t>Notes</t>
        </is>
      </c>
    </row>
    <row r="2">
      <c r="A2" s="12" t="inlineStr">
        <is>
          <t>T-001</t>
        </is>
      </c>
      <c r="B2" s="12" t="n">
        <v>0</v>
      </c>
      <c r="C2" s="12" t="inlineStr">
        <is>
          <t>Audit Weekend v1 and list unneeded files</t>
        </is>
      </c>
      <c r="D2" s="13" t="inlineStr">
        <is>
          <t>Medium</t>
        </is>
      </c>
      <c r="E2" s="13" t="inlineStr">
        <is>
          <t>Done</t>
        </is>
      </c>
      <c r="F2" s="14" t="n">
        <v>46297</v>
      </c>
      <c r="G2" s="14" t="n"/>
      <c r="H2" s="14" t="n">
        <v>46297</v>
      </c>
      <c r="I2" s="13" t="inlineStr">
        <is>
          <t>Cleanup list delivered</t>
        </is>
      </c>
    </row>
    <row r="3">
      <c r="A3" s="12" t="inlineStr">
        <is>
          <t>T-002</t>
        </is>
      </c>
      <c r="B3" s="12" t="n">
        <v>0</v>
      </c>
      <c r="C3" s="12" t="inlineStr">
        <is>
          <t>Research 2026 prices and options</t>
        </is>
      </c>
      <c r="D3" s="13" t="inlineStr">
        <is>
          <t>High</t>
        </is>
      </c>
      <c r="E3" s="13" t="inlineStr">
        <is>
          <t>Done</t>
        </is>
      </c>
      <c r="F3" s="14" t="n">
        <v>46297</v>
      </c>
      <c r="G3" s="14" t="n"/>
      <c r="H3" s="14" t="n">
        <v>46297</v>
      </c>
      <c r="I3" s="13" t="inlineStr">
        <is>
          <t>Sources in DESIGN.md Appendix C</t>
        </is>
      </c>
    </row>
    <row r="4">
      <c r="A4" s="12" t="inlineStr">
        <is>
          <t>T-003</t>
        </is>
      </c>
      <c r="B4" s="12" t="n">
        <v>0</v>
      </c>
      <c r="C4" s="12" t="inlineStr">
        <is>
          <t>Draft DESIGN.md</t>
        </is>
      </c>
      <c r="D4" s="13" t="inlineStr">
        <is>
          <t>High</t>
        </is>
      </c>
      <c r="E4" s="13" t="inlineStr">
        <is>
          <t>Done</t>
        </is>
      </c>
      <c r="F4" s="14" t="n">
        <v>46297</v>
      </c>
      <c r="G4" s="14" t="n"/>
      <c r="H4" s="14" t="n">
        <v>46297</v>
      </c>
      <c r="I4" s="13" t="inlineStr">
        <is>
          <t>Now v0.1.3</t>
        </is>
      </c>
    </row>
    <row r="5">
      <c r="A5" s="12" t="inlineStr">
        <is>
          <t>T-004</t>
        </is>
      </c>
      <c r="B5" s="12" t="n">
        <v>0</v>
      </c>
      <c r="C5" s="12" t="inlineStr">
        <is>
          <t>Set monthly budget (₹5,000)</t>
        </is>
      </c>
      <c r="D5" s="13" t="inlineStr">
        <is>
          <t>High</t>
        </is>
      </c>
      <c r="E5" s="13" t="inlineStr">
        <is>
          <t>Done</t>
        </is>
      </c>
      <c r="F5" s="14" t="n">
        <v>46297</v>
      </c>
      <c r="G5" s="14" t="n"/>
      <c r="H5" s="14" t="n">
        <v>46297</v>
      </c>
      <c r="I5" s="13" t="inlineStr">
        <is>
          <t>BUD-20261002</t>
        </is>
      </c>
    </row>
    <row r="6">
      <c r="A6" s="12" t="inlineStr">
        <is>
          <t>T-005</t>
        </is>
      </c>
      <c r="B6" s="12" t="n">
        <v>0</v>
      </c>
      <c r="C6" s="12" t="inlineStr">
        <is>
          <t>Project README + docs README</t>
        </is>
      </c>
      <c r="D6" s="13" t="inlineStr">
        <is>
          <t>Medium</t>
        </is>
      </c>
      <c r="E6" s="13" t="inlineStr">
        <is>
          <t>Done</t>
        </is>
      </c>
      <c r="F6" s="14" t="n">
        <v>46297</v>
      </c>
      <c r="G6" s="14" t="n"/>
      <c r="H6" s="14" t="n">
        <v>46297</v>
      </c>
      <c r="I6" s="13" t="inlineStr"/>
    </row>
    <row r="7">
      <c r="A7" s="12" t="inlineStr">
        <is>
          <t>T-006</t>
        </is>
      </c>
      <c r="B7" s="12" t="n">
        <v>0</v>
      </c>
      <c r="C7" s="12" t="inlineStr">
        <is>
          <t>Architecture diagrams (FigJam + docs/diagrams)</t>
        </is>
      </c>
      <c r="D7" s="13" t="inlineStr">
        <is>
          <t>Medium</t>
        </is>
      </c>
      <c r="E7" s="13" t="inlineStr">
        <is>
          <t>Done</t>
        </is>
      </c>
      <c r="F7" s="14" t="n">
        <v>46297</v>
      </c>
      <c r="G7" s="14" t="n"/>
      <c r="H7" s="14" t="n">
        <v>46297</v>
      </c>
      <c r="I7" s="13" t="inlineStr">
        <is>
          <t>5 diagrams: jpg/svg/mmd</t>
        </is>
      </c>
    </row>
    <row r="8">
      <c r="A8" s="12" t="inlineStr">
        <is>
          <t>T-007</t>
        </is>
      </c>
      <c r="B8" s="12" t="n">
        <v>0</v>
      </c>
      <c r="C8" s="12" t="inlineStr">
        <is>
          <t>Update PROJECT_MEMORY (save project)</t>
        </is>
      </c>
      <c r="D8" s="13" t="inlineStr">
        <is>
          <t>Medium</t>
        </is>
      </c>
      <c r="E8" s="13" t="inlineStr">
        <is>
          <t>In progress</t>
        </is>
      </c>
      <c r="F8" s="14" t="n">
        <v>46297</v>
      </c>
      <c r="G8" s="14" t="n"/>
      <c r="H8" s="14" t="n"/>
      <c r="I8" s="13" t="inlineStr">
        <is>
          <t>Diff awaiting owner approval</t>
        </is>
      </c>
    </row>
    <row r="9">
      <c r="A9" s="12" t="inlineStr">
        <is>
          <t>T-008</t>
        </is>
      </c>
      <c r="B9" s="12" t="n">
        <v>0</v>
      </c>
      <c r="C9" s="12" t="inlineStr">
        <is>
          <t>Verify 'Not verified' Mumbai prices (I-3)</t>
        </is>
      </c>
      <c r="D9" s="13" t="inlineStr">
        <is>
          <t>High</t>
        </is>
      </c>
      <c r="E9" s="13" t="inlineStr">
        <is>
          <t>Not started</t>
        </is>
      </c>
      <c r="F9" s="14" t="n"/>
      <c r="G9" s="14" t="n"/>
      <c r="H9" s="14" t="n"/>
      <c r="I9" s="13" t="inlineStr">
        <is>
          <t>AWS Pricing Calculator</t>
        </is>
      </c>
    </row>
    <row r="10">
      <c r="A10" s="12" t="inlineStr">
        <is>
          <t>T-009</t>
        </is>
      </c>
      <c r="B10" s="12" t="n">
        <v>0</v>
      </c>
      <c r="C10" s="12" t="inlineStr">
        <is>
          <t>Decide D1 (hosting)</t>
        </is>
      </c>
      <c r="D10" s="13" t="inlineStr">
        <is>
          <t>High</t>
        </is>
      </c>
      <c r="E10" s="13" t="inlineStr">
        <is>
          <t>Not started</t>
        </is>
      </c>
      <c r="F10" s="14" t="n"/>
      <c r="G10" s="14" t="n"/>
      <c r="H10" s="14" t="n"/>
      <c r="I10" s="13" t="inlineStr">
        <is>
          <t>E2 (revised) recommended; Terraform drafted for it</t>
        </is>
      </c>
    </row>
    <row r="11">
      <c r="A11" s="12" t="inlineStr">
        <is>
          <t>T-010</t>
        </is>
      </c>
      <c r="B11" s="12" t="n">
        <v>0</v>
      </c>
      <c r="C11" s="12" t="inlineStr">
        <is>
          <t>Decide D2 (AI model)</t>
        </is>
      </c>
      <c r="D11" s="13" t="inlineStr">
        <is>
          <t>High</t>
        </is>
      </c>
      <c r="E11" s="13" t="inlineStr">
        <is>
          <t>Not started</t>
        </is>
      </c>
      <c r="F11" s="14" t="n"/>
      <c r="G11" s="14" t="n"/>
      <c r="H11" s="14" t="n"/>
      <c r="I11" s="13" t="inlineStr">
        <is>
          <t>Depends on D1</t>
        </is>
      </c>
    </row>
    <row r="12">
      <c r="A12" s="12" t="inlineStr">
        <is>
          <t>T-011</t>
        </is>
      </c>
      <c r="B12" s="12" t="n">
        <v>0</v>
      </c>
      <c r="C12" s="12" t="inlineStr">
        <is>
          <t>Decide D4 (cloud provider)</t>
        </is>
      </c>
      <c r="D12" s="13" t="inlineStr">
        <is>
          <t>High</t>
        </is>
      </c>
      <c r="E12" s="13" t="inlineStr">
        <is>
          <t>Not started</t>
        </is>
      </c>
      <c r="F12" s="14" t="n"/>
      <c r="G12" s="14" t="n"/>
      <c r="H12" s="14" t="n"/>
      <c r="I12" s="13" t="inlineStr">
        <is>
          <t>Depends on D1, D2</t>
        </is>
      </c>
    </row>
    <row r="13">
      <c r="A13" s="12" t="inlineStr">
        <is>
          <t>T-012</t>
        </is>
      </c>
      <c r="B13" s="12" t="n">
        <v>0</v>
      </c>
      <c r="C13" s="12" t="inlineStr">
        <is>
          <t>Approve architecture diagram + cost estimate (Phase 0 exit)</t>
        </is>
      </c>
      <c r="D13" s="13" t="inlineStr">
        <is>
          <t>High</t>
        </is>
      </c>
      <c r="E13" s="13" t="inlineStr">
        <is>
          <t>Not started</t>
        </is>
      </c>
      <c r="F13" s="14" t="n"/>
      <c r="G13" s="14" t="n"/>
      <c r="H13" s="14" t="n"/>
      <c r="I13" s="13" t="inlineStr"/>
    </row>
    <row r="14">
      <c r="A14" s="12" t="inlineStr">
        <is>
          <t>T-013</t>
        </is>
      </c>
      <c r="B14" s="12" t="inlineStr">
        <is>
          <t>—</t>
        </is>
      </c>
      <c r="C14" s="12" t="inlineStr">
        <is>
          <t>Rotate leaked Weekend v1 tokens (I-1)</t>
        </is>
      </c>
      <c r="D14" s="13" t="inlineStr">
        <is>
          <t>Critical</t>
        </is>
      </c>
      <c r="E14" s="13" t="inlineStr">
        <is>
          <t>Not started</t>
        </is>
      </c>
      <c r="F14" s="14" t="n"/>
      <c r="G14" s="14" t="n"/>
      <c r="H14" s="14" t="n"/>
      <c r="I14" s="13" t="inlineStr">
        <is>
          <t>Then purge or archive the old repo</t>
        </is>
      </c>
    </row>
    <row r="15">
      <c r="A15" s="12" t="inlineStr">
        <is>
          <t>T-014</t>
        </is>
      </c>
      <c r="B15" s="12" t="n">
        <v>0</v>
      </c>
      <c r="C15" s="12" t="inlineStr">
        <is>
          <t>Claim the FigJam board (I-6)</t>
        </is>
      </c>
      <c r="D15" s="13" t="inlineStr">
        <is>
          <t>Low</t>
        </is>
      </c>
      <c r="E15" s="13" t="inlineStr">
        <is>
          <t>Not started</t>
        </is>
      </c>
      <c r="F15" s="14" t="n"/>
      <c r="G15" s="14" t="n"/>
      <c r="H15" s="14" t="n"/>
      <c r="I15" s="13" t="inlineStr"/>
    </row>
    <row r="16">
      <c r="A16" s="12" t="inlineStr">
        <is>
          <t>T-015</t>
        </is>
      </c>
      <c r="B16" s="12" t="n">
        <v>1</v>
      </c>
      <c r="C16" s="12" t="inlineStr">
        <is>
          <t>git init + private GitHub repo (needs approval)</t>
        </is>
      </c>
      <c r="D16" s="13" t="inlineStr">
        <is>
          <t>Medium</t>
        </is>
      </c>
      <c r="E16" s="13" t="inlineStr">
        <is>
          <t>Not started</t>
        </is>
      </c>
      <c r="F16" s="14" t="n"/>
      <c r="G16" s="14" t="n"/>
      <c r="H16" s="14" t="n"/>
      <c r="I16" s="13" t="inlineStr"/>
    </row>
    <row r="17">
      <c r="A17" s="12" t="inlineStr">
        <is>
          <t>T-016</t>
        </is>
      </c>
      <c r="B17" s="12" t="n">
        <v>5</v>
      </c>
      <c r="C17" s="12" t="inlineStr">
        <is>
          <t>Draft Terraform (E2 revised): 9 modules + bootstrap; validated (TF 1.16.5, AWS 6.67.0)</t>
        </is>
      </c>
      <c r="D17" s="13" t="inlineStr">
        <is>
          <t>High</t>
        </is>
      </c>
      <c r="E17" s="13" t="inlineStr">
        <is>
          <t>Done</t>
        </is>
      </c>
      <c r="F17" s="14" t="n">
        <v>46297</v>
      </c>
      <c r="G17" s="14" t="n"/>
      <c r="H17" s="14" t="n">
        <v>46297</v>
      </c>
      <c r="I17" s="13" t="inlineStr">
        <is>
          <t>infra/ — PROVISIONAL until D1</t>
        </is>
      </c>
    </row>
    <row r="18">
      <c r="A18" s="12" t="inlineStr">
        <is>
          <t>T-017</t>
        </is>
      </c>
      <c r="B18" s="12" t="n">
        <v>0</v>
      </c>
      <c r="C18" s="12" t="inlineStr">
        <is>
          <t>Plan Python automation scripts (21) — Automation Scripts sheet</t>
        </is>
      </c>
      <c r="D18" s="13" t="inlineStr">
        <is>
          <t>Medium</t>
        </is>
      </c>
      <c r="E18" s="13" t="inlineStr">
        <is>
          <t>Done</t>
        </is>
      </c>
      <c r="F18" s="14" t="n">
        <v>46297</v>
      </c>
      <c r="G18" s="14" t="n"/>
      <c r="H18" s="14" t="n">
        <v>46297</v>
      </c>
      <c r="I18" s="13" t="inlineStr"/>
    </row>
    <row r="19">
      <c r="A19" s="12" t="inlineStr">
        <is>
          <t>T-018</t>
        </is>
      </c>
      <c r="B19" s="12" t="n">
        <v>0</v>
      </c>
      <c r="C19" s="12" t="inlineStr">
        <is>
          <t>Confirm Aurora engine version + Bedrock India model IDs in ap-south-1</t>
        </is>
      </c>
      <c r="D19" s="13" t="inlineStr">
        <is>
          <t>High</t>
        </is>
      </c>
      <c r="E19" s="13" t="inlineStr">
        <is>
          <t>Not started</t>
        </is>
      </c>
      <c r="F19" s="14" t="n"/>
      <c r="G19" s="14" t="n"/>
      <c r="H19" s="14" t="n"/>
      <c r="I19" s="13" t="inlineStr">
        <is>
          <t>Commands in infra/README.md</t>
        </is>
      </c>
    </row>
    <row r="20">
      <c r="A20" s="12" t="inlineStr">
        <is>
          <t>T-019</t>
        </is>
      </c>
      <c r="B20" s="12" t="n">
        <v>5</v>
      </c>
      <c r="C20" s="12" t="inlineStr">
        <is>
          <t>Upgrade local Terraform 1.5.7 → 1.16.x (hashicorp/tap)</t>
        </is>
      </c>
      <c r="D20" s="13" t="inlineStr">
        <is>
          <t>Medium</t>
        </is>
      </c>
      <c r="E20" s="13" t="inlineStr">
        <is>
          <t>Not started</t>
        </is>
      </c>
      <c r="F20" s="14" t="n"/>
      <c r="G20" s="14" t="n"/>
      <c r="H20" s="14" t="n"/>
      <c r="I20" s="13" t="inlineStr"/>
    </row>
  </sheetData>
  <autoFilter ref="A1:I16"/>
  <conditionalFormatting sqref="E2:E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D2:D200">
    <cfRule type="cellIs" priority="5" operator="equal" dxfId="2">
      <formula>"Critical"</formula>
    </cfRule>
  </conditionalFormatting>
  <dataValidations count="2">
    <dataValidation sqref="E2:E200" showDropDown="0" showInputMessage="0" showErrorMessage="0" allowBlank="1" type="list">
      <formula1>"Not started,In progress,Blocked,Done"</formula1>
    </dataValidation>
    <dataValidation sqref="D2:D20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0" customWidth="1" min="3" max="3"/>
    <col width="13" customWidth="1" min="4" max="4"/>
    <col width="55" customWidth="1" min="5" max="5"/>
    <col width="30" customWidth="1" min="6" max="6"/>
    <col width="13" customWidth="1" min="7" max="7"/>
    <col width="30" customWidth="1" min="8" max="8"/>
  </cols>
  <sheetData>
    <row r="1">
      <c r="A1" s="11" t="inlineStr">
        <is>
          <t>ID</t>
        </is>
      </c>
      <c r="B1" s="11" t="inlineStr">
        <is>
          <t>Order</t>
        </is>
      </c>
      <c r="C1" s="11" t="inlineStr">
        <is>
          <t>Decision</t>
        </is>
      </c>
      <c r="D1" s="11" t="inlineStr">
        <is>
          <t>Status</t>
        </is>
      </c>
      <c r="E1" s="11" t="inlineStr">
        <is>
          <t>Provisional recommendation</t>
        </is>
      </c>
      <c r="F1" s="11" t="inlineStr">
        <is>
          <t>Final choice</t>
        </is>
      </c>
      <c r="G1" s="11" t="inlineStr">
        <is>
          <t>Date decided</t>
        </is>
      </c>
      <c r="H1" s="11" t="inlineStr">
        <is>
          <t>ADR file</t>
        </is>
      </c>
    </row>
    <row r="2">
      <c r="A2" s="12" t="inlineStr">
        <is>
          <t>D1</t>
        </is>
      </c>
      <c r="B2" s="12" t="n">
        <v>1</v>
      </c>
      <c r="C2" s="12" t="inlineStr">
        <is>
          <t>Hosting</t>
        </is>
      </c>
      <c r="D2" s="13" t="inlineStr">
        <is>
          <t>Open</t>
        </is>
      </c>
      <c r="E2" s="12" t="inlineStr">
        <is>
          <t>Private EC2 server, ap-south-1, tailnet-only (DESIGN §17)</t>
        </is>
      </c>
      <c r="F2" s="13" t="inlineStr"/>
      <c r="G2" s="14" t="n"/>
      <c r="H2" s="13" t="inlineStr"/>
    </row>
    <row r="3">
      <c r="A3" s="12" t="inlineStr">
        <is>
          <t>D2</t>
        </is>
      </c>
      <c r="B3" s="12" t="n">
        <v>2</v>
      </c>
      <c r="C3" s="12" t="inlineStr">
        <is>
          <t>AI model</t>
        </is>
      </c>
      <c r="D3" s="13" t="inlineStr">
        <is>
          <t>Open</t>
        </is>
      </c>
      <c r="E3" s="12" t="inlineStr">
        <is>
          <t>Claude Haiku 4.5 + Sonnet 5 via Bedrock India profile (§7)</t>
        </is>
      </c>
      <c r="F3" s="13" t="inlineStr"/>
      <c r="G3" s="14" t="n"/>
      <c r="H3" s="13" t="inlineStr"/>
    </row>
    <row r="4">
      <c r="A4" s="12" t="inlineStr">
        <is>
          <t>D4</t>
        </is>
      </c>
      <c r="B4" s="12" t="n">
        <v>3</v>
      </c>
      <c r="C4" s="12" t="inlineStr">
        <is>
          <t>Cloud provider</t>
        </is>
      </c>
      <c r="D4" s="13" t="inlineStr">
        <is>
          <t>Open</t>
        </is>
      </c>
      <c r="E4" s="12" t="inlineStr">
        <is>
          <t>AWS (§16)</t>
        </is>
      </c>
      <c r="F4" s="13" t="inlineStr"/>
      <c r="G4" s="14" t="n"/>
      <c r="H4" s="13" t="inlineStr"/>
    </row>
    <row r="5">
      <c r="A5" s="12" t="inlineStr">
        <is>
          <t>D5</t>
        </is>
      </c>
      <c r="B5" s="12" t="n">
        <v>4</v>
      </c>
      <c r="C5" s="12" t="inlineStr">
        <is>
          <t>Storage / hardware</t>
        </is>
      </c>
      <c r="D5" s="13" t="inlineStr">
        <is>
          <t>Open</t>
        </is>
      </c>
      <c r="E5" s="12" t="inlineStr">
        <is>
          <t>PostgreSQL 17 + pgvector on encrypted EBS (§9)</t>
        </is>
      </c>
      <c r="F5" s="13" t="inlineStr"/>
      <c r="G5" s="14" t="n"/>
      <c r="H5" s="13" t="inlineStr"/>
    </row>
    <row r="6">
      <c r="A6" s="12" t="inlineStr">
        <is>
          <t>D6</t>
        </is>
      </c>
      <c r="B6" s="12" t="n">
        <v>5</v>
      </c>
      <c r="C6" s="12" t="inlineStr">
        <is>
          <t>Authentication</t>
        </is>
      </c>
      <c r="D6" s="13" t="inlineStr">
        <is>
          <t>Open</t>
        </is>
      </c>
      <c r="E6" s="12" t="inlineStr">
        <is>
          <t>Tailnet + passkey (§14)</t>
        </is>
      </c>
      <c r="F6" s="13" t="inlineStr"/>
      <c r="G6" s="14" t="n"/>
      <c r="H6" s="13" t="inlineStr"/>
    </row>
    <row r="7">
      <c r="A7" s="12" t="inlineStr">
        <is>
          <t>D3</t>
        </is>
      </c>
      <c r="B7" s="12" t="n">
        <v>6</v>
      </c>
      <c r="C7" s="12" t="inlineStr">
        <is>
          <t>Mobile interface</t>
        </is>
      </c>
      <c r="D7" s="13" t="inlineStr">
        <is>
          <t>Open</t>
        </is>
      </c>
      <c r="E7" s="12" t="inlineStr">
        <is>
          <t>PWA (§15)</t>
        </is>
      </c>
      <c r="F7" s="13" t="inlineStr"/>
      <c r="G7" s="14" t="n"/>
      <c r="H7" s="13" t="inlineStr"/>
    </row>
  </sheetData>
  <autoFilter ref="A1:H7"/>
  <conditionalFormatting sqref="D2:D200">
    <cfRule type="cellIs" priority="1" operator="equal" dxfId="0">
      <formula>"Decided"</formula>
    </cfRule>
    <cfRule type="cellIs" priority="2" operator="equal" dxfId="1">
      <formula>"Provisional"</formula>
    </cfRule>
    <cfRule type="cellIs" priority="3" operator="equal" dxfId="3">
      <formula>"Open"</formula>
    </cfRule>
  </conditionalFormatting>
  <dataValidations count="1">
    <dataValidation sqref="D2:D200" showDropDown="0" showInputMessage="0" showErrorMessage="0" allowBlank="1" type="list">
      <formula1>"Open,Provisional,Decided"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11" customWidth="1" min="3" max="3"/>
    <col width="48" customWidth="1" min="4" max="4"/>
    <col width="11" customWidth="1" min="5" max="5"/>
    <col width="12" customWidth="1" min="6" max="6"/>
    <col width="12" customWidth="1" min="7" max="7"/>
  </cols>
  <sheetData>
    <row r="1">
      <c r="A1" s="11" t="inlineStr">
        <is>
          <t>ID</t>
        </is>
      </c>
      <c r="B1" s="11" t="inlineStr">
        <is>
          <t>Description</t>
        </is>
      </c>
      <c r="C1" s="11" t="inlineStr">
        <is>
          <t>Severity</t>
        </is>
      </c>
      <c r="D1" s="11" t="inlineStr">
        <is>
          <t>Owner action</t>
        </is>
      </c>
      <c r="E1" s="11" t="inlineStr">
        <is>
          <t>Status</t>
        </is>
      </c>
      <c r="F1" s="11" t="inlineStr">
        <is>
          <t>Opened</t>
        </is>
      </c>
      <c r="G1" s="11" t="inlineStr">
        <is>
          <t>Closed</t>
        </is>
      </c>
    </row>
    <row r="2">
      <c r="A2" s="12" t="inlineStr">
        <is>
          <t>I-1</t>
        </is>
      </c>
      <c r="B2" s="12" t="inlineStr">
        <is>
          <t>Leaked tokens in Weekend v1 git history</t>
        </is>
      </c>
      <c r="C2" s="13" t="inlineStr">
        <is>
          <t>High</t>
        </is>
      </c>
      <c r="D2" s="13" t="inlineStr">
        <is>
          <t>Rotate tokens; purge or archive the old repo</t>
        </is>
      </c>
      <c r="E2" s="13" t="inlineStr">
        <is>
          <t>Open</t>
        </is>
      </c>
      <c r="F2" s="16" t="n">
        <v>46297</v>
      </c>
      <c r="G2" s="14" t="n"/>
    </row>
    <row r="3">
      <c r="A3" s="12" t="inlineStr">
        <is>
          <t>I-2</t>
        </is>
      </c>
      <c r="B3" s="12" t="inlineStr">
        <is>
          <t>Bedrock Sonnet 5 price conflict ($2/$10 vs $3/$15)</t>
        </is>
      </c>
      <c r="C3" s="13" t="inlineStr">
        <is>
          <t>Low</t>
        </is>
      </c>
      <c r="D3" s="13" t="inlineStr">
        <is>
          <t>Check the AWS Bedrock pricing page</t>
        </is>
      </c>
      <c r="E3" s="13" t="inlineStr">
        <is>
          <t>Open</t>
        </is>
      </c>
      <c r="F3" s="16" t="n">
        <v>46297</v>
      </c>
      <c r="G3" s="14" t="n"/>
    </row>
    <row r="4">
      <c r="A4" s="12" t="inlineStr">
        <is>
          <t>I-3</t>
        </is>
      </c>
      <c r="B4" s="12" t="inlineStr">
        <is>
          <t>Several Mumbai prices 'Not verified'</t>
        </is>
      </c>
      <c r="C4" s="13" t="inlineStr">
        <is>
          <t>Low</t>
        </is>
      </c>
      <c r="D4" s="13" t="inlineStr">
        <is>
          <t>Done 2026-10-02: EC2, EBS, IPv4, KMS, Secrets verified via AWS Price List API. S3/CloudWatch volumes remain estimates.</t>
        </is>
      </c>
      <c r="E4" s="13" t="inlineStr">
        <is>
          <t>Closed</t>
        </is>
      </c>
      <c r="F4" s="16" t="n">
        <v>46297</v>
      </c>
      <c r="G4" s="14" t="n">
        <v>46297</v>
      </c>
    </row>
    <row r="5">
      <c r="A5" s="12" t="inlineStr">
        <is>
          <t>I-4</t>
        </is>
      </c>
      <c r="B5" s="12" t="inlineStr">
        <is>
          <t>Voice options exceed the ₹5,000 budget at today's prices</t>
        </is>
      </c>
      <c r="C5" s="13" t="inlineStr">
        <is>
          <t>Medium</t>
        </is>
      </c>
      <c r="D5" s="13" t="inlineStr">
        <is>
          <t>Evaluate DESIGN §21.4 options in Phase 2</t>
        </is>
      </c>
      <c r="E5" s="13" t="inlineStr">
        <is>
          <t>Open</t>
        </is>
      </c>
      <c r="F5" s="16" t="n">
        <v>46297</v>
      </c>
      <c r="G5" s="14" t="n"/>
    </row>
    <row r="6">
      <c r="A6" s="12" t="inlineStr">
        <is>
          <t>I-5</t>
        </is>
      </c>
      <c r="B6" s="12" t="inlineStr">
        <is>
          <t>AWS network diagram shows WireGuard as one-way arrows</t>
        </is>
      </c>
      <c r="C6" s="13" t="inlineStr">
        <is>
          <t>Low</t>
        </is>
      </c>
      <c r="D6" s="13" t="inlineStr">
        <is>
          <t>Optional: fix in FigJam and re-export 04</t>
        </is>
      </c>
      <c r="E6" s="13" t="inlineStr">
        <is>
          <t>Open</t>
        </is>
      </c>
      <c r="F6" s="16" t="n">
        <v>46297</v>
      </c>
      <c r="G6" s="14" t="n"/>
    </row>
    <row r="7">
      <c r="A7" s="12" t="inlineStr">
        <is>
          <t>I-6</t>
        </is>
      </c>
      <c r="B7" s="12" t="inlineStr">
        <is>
          <t>FigJam board is an unclaimed Claude draft; seat is 'View'</t>
        </is>
      </c>
      <c r="C7" s="13" t="inlineStr">
        <is>
          <t>Low</t>
        </is>
      </c>
      <c r="D7" s="13" t="inlineStr">
        <is>
          <t>Claim the board in Figma</t>
        </is>
      </c>
      <c r="E7" s="13" t="inlineStr">
        <is>
          <t>Open</t>
        </is>
      </c>
      <c r="F7" s="16" t="n">
        <v>46297</v>
      </c>
      <c r="G7" s="14" t="n"/>
    </row>
    <row r="8">
      <c r="A8" s="12" t="inlineStr">
        <is>
          <t>I-7</t>
        </is>
      </c>
      <c r="B8" s="12" t="inlineStr">
        <is>
          <t>Aurora resumes in ~15 s (30 s+ after 24 h idle) — first message after a pause is slow</t>
        </is>
      </c>
      <c r="C8" s="13" t="inlineStr">
        <is>
          <t>Medium</t>
        </is>
      </c>
      <c r="D8" s="13" t="inlineStr">
        <is>
          <t>Accept, or raise min ACU (cost) — decide with D5</t>
        </is>
      </c>
      <c r="E8" s="13" t="inlineStr">
        <is>
          <t>Open</t>
        </is>
      </c>
      <c r="F8" s="16" t="n">
        <v>46297</v>
      </c>
      <c r="G8" s="14" t="n"/>
    </row>
    <row r="9">
      <c r="A9" s="12" t="inlineStr">
        <is>
          <t>I-8</t>
        </is>
      </c>
      <c r="B9" s="12" t="inlineStr">
        <is>
          <t>Exact Bedrock India profile ID for Sonnet 5 not verified</t>
        </is>
      </c>
      <c r="C9" s="13" t="inlineStr">
        <is>
          <t>Low</t>
        </is>
      </c>
      <c r="D9" s="13" t="inlineStr">
        <is>
          <t>Run list-inference-profiles (T-018)</t>
        </is>
      </c>
      <c r="E9" s="13" t="inlineStr">
        <is>
          <t>Open</t>
        </is>
      </c>
      <c r="F9" s="16" t="n">
        <v>46297</v>
      </c>
      <c r="G9" s="14" t="n"/>
    </row>
  </sheetData>
  <autoFilter ref="A1:G7"/>
  <conditionalFormatting sqref="E2:E200">
    <cfRule type="cellIs" priority="1" operator="equal" dxfId="0">
      <formula>"Closed"</formula>
    </cfRule>
    <cfRule type="cellIs" priority="2" operator="equal" dxfId="1">
      <formula>"Open"</formula>
    </cfRule>
  </conditionalFormatting>
  <conditionalFormatting sqref="C2:C200">
    <cfRule type="cellIs" priority="3" operator="equal" dxfId="2">
      <formula>"Critical"</formula>
    </cfRule>
    <cfRule type="cellIs" priority="4" operator="equal" dxfId="2">
      <formula>"High"</formula>
    </cfRule>
  </conditionalFormatting>
  <dataValidations count="2">
    <dataValidation sqref="C2:C200" showDropDown="0" showInputMessage="0" showErrorMessage="0" allowBlank="1" type="list">
      <formula1>"Critical,High,Medium,Low"</formula1>
    </dataValidation>
    <dataValidation sqref="E2:E200" showDropDown="0" showInputMessage="0" showErrorMessage="0" allowBlank="1" type="list">
      <formula1>"Open,Closed"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0" customWidth="1" min="2" max="2"/>
    <col width="13" customWidth="1" min="3" max="3"/>
    <col width="13" customWidth="1" min="4" max="4"/>
    <col width="14" customWidth="1" min="5" max="5"/>
    <col width="44" customWidth="1" min="6" max="6"/>
  </cols>
  <sheetData>
    <row r="1">
      <c r="A1" s="11" t="inlineStr">
        <is>
          <t>Item</t>
        </is>
      </c>
      <c r="B1" s="11" t="inlineStr">
        <is>
          <t>Basis</t>
        </is>
      </c>
      <c r="C1" s="11" t="inlineStr">
        <is>
          <t>USD / month</t>
        </is>
      </c>
      <c r="D1" s="11" t="inlineStr">
        <is>
          <t>INR / month</t>
        </is>
      </c>
      <c r="E1" s="11" t="inlineStr">
        <is>
          <t>Verified?</t>
        </is>
      </c>
      <c r="F1" s="11" t="inlineStr">
        <is>
          <t>Source</t>
        </is>
      </c>
    </row>
    <row r="2">
      <c r="A2" s="12" t="inlineStr">
        <is>
          <t>EC2 t4g.medium</t>
        </is>
      </c>
      <c r="B2" s="12" t="inlineStr">
        <is>
          <t>$0.0224/h × 730 h</t>
        </is>
      </c>
      <c r="C2" s="26" t="n">
        <v>16.352</v>
      </c>
      <c r="D2" s="27">
        <f>C2*$B$15</f>
        <v/>
      </c>
      <c r="E2" s="13" t="inlineStr">
        <is>
          <t>Verified</t>
        </is>
      </c>
      <c r="F2" s="12" t="inlineStr">
        <is>
          <t>AWS Price List API, ap-south-1 (AmazonEC2, published 2026-09-25)</t>
        </is>
      </c>
    </row>
    <row r="3">
      <c r="A3" s="12" t="inlineStr">
        <is>
          <t>EBS gp3 40 GB</t>
        </is>
      </c>
      <c r="B3" s="12" t="inlineStr">
        <is>
          <t>$0.0912/GB-month × 40 GB</t>
        </is>
      </c>
      <c r="C3" s="26" t="n">
        <v>3.648</v>
      </c>
      <c r="D3" s="27">
        <f>C3*$B$15</f>
        <v/>
      </c>
      <c r="E3" s="13" t="inlineStr">
        <is>
          <t>Verified</t>
        </is>
      </c>
      <c r="F3" s="12" t="inlineStr">
        <is>
          <t>AWS Price List API, ap-south-1 (AmazonEC2/EBS, published 2026-09-25)</t>
        </is>
      </c>
    </row>
    <row r="4">
      <c r="A4" s="12" t="inlineStr">
        <is>
          <t>Public IPv4</t>
        </is>
      </c>
      <c r="B4" s="12" t="inlineStr">
        <is>
          <t>$0.005/h × 730 h (in-use IPv4)</t>
        </is>
      </c>
      <c r="C4" s="26" t="n">
        <v>3.65</v>
      </c>
      <c r="D4" s="27">
        <f>C4*$B$15</f>
        <v/>
      </c>
      <c r="E4" s="13" t="inlineStr">
        <is>
          <t>Verified</t>
        </is>
      </c>
      <c r="F4" s="12" t="inlineStr">
        <is>
          <t>AWS Price List API, ap-south-1 (AmazonVPC, published 2026-09-17)</t>
        </is>
      </c>
    </row>
    <row r="5">
      <c r="A5" s="12" t="inlineStr">
        <is>
          <t>KMS customer-managed keys</t>
        </is>
      </c>
      <c r="B5" s="12" t="inlineStr">
        <is>
          <t>2 keys × $1/month (+$0.03 per 10k requests)</t>
        </is>
      </c>
      <c r="C5" s="26" t="n">
        <v>2</v>
      </c>
      <c r="D5" s="27">
        <f>C5*$B$15</f>
        <v/>
      </c>
      <c r="E5" s="13" t="inlineStr">
        <is>
          <t>Verified</t>
        </is>
      </c>
      <c r="F5" s="12" t="inlineStr">
        <is>
          <t>AWS Price List API, ap-south-1 (awskms, published 2026-09-11)</t>
        </is>
      </c>
    </row>
    <row r="6">
      <c r="A6" s="12" t="inlineStr">
        <is>
          <t>Secrets Manager</t>
        </is>
      </c>
      <c r="B6" s="12" t="inlineStr">
        <is>
          <t>5 secrets × $0.40 (+$0.05 per 10k API calls)</t>
        </is>
      </c>
      <c r="C6" s="26" t="n">
        <v>2</v>
      </c>
      <c r="D6" s="27">
        <f>C6*$B$15</f>
        <v/>
      </c>
      <c r="E6" s="13" t="inlineStr">
        <is>
          <t>Verified</t>
        </is>
      </c>
      <c r="F6" s="12" t="inlineStr">
        <is>
          <t>AWS Price List API, ap-south-1 (AWSSecretsManager, published 2026-09-11)</t>
        </is>
      </c>
    </row>
    <row r="7">
      <c r="A7" s="12" t="inlineStr">
        <is>
          <t>S3 backups + Object Lock</t>
        </is>
      </c>
      <c r="B7" s="12" t="inlineStr">
        <is>
          <t>~15 GB × $0.025/GB-month + requests</t>
        </is>
      </c>
      <c r="C7" s="26" t="n">
        <v>0.6</v>
      </c>
      <c r="D7" s="27">
        <f>C7*$B$15</f>
        <v/>
      </c>
      <c r="E7" s="13" t="inlineStr">
        <is>
          <t>Estimate</t>
        </is>
      </c>
      <c r="F7" s="12" t="inlineStr">
        <is>
          <t>Rate: AWS Price List API, ap-south-1 (AmazonS3 Standard first 50 TB); volume estimated</t>
        </is>
      </c>
    </row>
    <row r="8">
      <c r="A8" s="12" t="inlineStr">
        <is>
          <t>EBS snapshots</t>
        </is>
      </c>
      <c r="B8" s="12" t="inlineStr">
        <is>
          <t>$0.05/GB-month × ~10 GB</t>
        </is>
      </c>
      <c r="C8" s="26" t="n">
        <v>0.5</v>
      </c>
      <c r="D8" s="27">
        <f>C8*$B$15</f>
        <v/>
      </c>
      <c r="E8" s="13" t="inlineStr">
        <is>
          <t>Estimate</t>
        </is>
      </c>
      <c r="F8" s="12" t="inlineStr">
        <is>
          <t>Rate: AWS Price List API, ap-south-1 (EBS snapshots, 2026-09-25); size estimated</t>
        </is>
      </c>
    </row>
    <row r="9">
      <c r="A9" s="12" t="inlineStr">
        <is>
          <t>CloudWatch Logs</t>
        </is>
      </c>
      <c r="B9" s="12" t="inlineStr">
        <is>
          <t>&lt; 1 GB: $0.67/GB ingest + $0.03/GB-month</t>
        </is>
      </c>
      <c r="C9" s="26" t="n">
        <v>1</v>
      </c>
      <c r="D9" s="27">
        <f>C9*$B$15</f>
        <v/>
      </c>
      <c r="E9" s="13" t="inlineStr">
        <is>
          <t>Estimate</t>
        </is>
      </c>
      <c r="F9" s="12" t="inlineStr">
        <is>
          <t>Rate: AWS Price List API, ap-south-1 (AmazonCloudWatch); volume estimated</t>
        </is>
      </c>
    </row>
    <row r="10">
      <c r="A10" s="12" t="inlineStr">
        <is>
          <t>Tailscale</t>
        </is>
      </c>
      <c r="B10" s="12" t="inlineStr">
        <is>
          <t>Personal plan</t>
        </is>
      </c>
      <c r="C10" s="28" t="n">
        <v>0</v>
      </c>
      <c r="D10" s="27">
        <f>C10*$B$15</f>
        <v/>
      </c>
      <c r="E10" s="13" t="inlineStr">
        <is>
          <t>ssdnodes.com (2026-10-02)</t>
        </is>
      </c>
      <c r="F10" s="12" t="n"/>
    </row>
    <row r="11">
      <c r="A11" s="12" t="inlineStr">
        <is>
          <t>LLM — Bedrock India (expected, 3,000 turns)</t>
        </is>
      </c>
      <c r="B11" s="12" t="inlineStr">
        <is>
          <t>80% Haiku 4.5 / 20% Sonnet 5, +10% regional</t>
        </is>
      </c>
      <c r="C11" s="28" t="n">
        <v>15.9</v>
      </c>
      <c r="D11" s="27">
        <f>C11*$B$15</f>
        <v/>
      </c>
      <c r="E11" s="13" t="inlineStr">
        <is>
          <t>DESIGN.md §21.1; platform.claude.com pricing</t>
        </is>
      </c>
      <c r="F11" s="12" t="n"/>
    </row>
    <row r="13">
      <c r="A13" s="3" t="inlineStr">
        <is>
          <t>Total per month</t>
        </is>
      </c>
      <c r="B13" s="5" t="n"/>
      <c r="C13" s="29">
        <f>SUM(C2:C11)</f>
        <v/>
      </c>
      <c r="D13" s="30">
        <f>SUM(D2:D11)</f>
        <v/>
      </c>
    </row>
    <row r="14">
      <c r="A14" s="3" t="n"/>
      <c r="B14" s="5" t="n"/>
      <c r="C14" s="5" t="n"/>
      <c r="D14" s="5" t="n"/>
    </row>
    <row r="15">
      <c r="A15" s="3" t="inlineStr">
        <is>
          <t>Exchange rate (₹ per USD)</t>
        </is>
      </c>
      <c r="B15" s="21" t="n">
        <v>96.12</v>
      </c>
      <c r="C15" s="5" t="inlineStr">
        <is>
          <t>Median mid-market, 2026-10-02 ~20:10 IST: Trading Economics 96.1210 · Wise 96.0682 · Frankfurter 96.14. FBIL reference not published (Gandhi Jayanti holiday).</t>
        </is>
      </c>
      <c r="D15" s="5" t="n"/>
    </row>
    <row r="16">
      <c r="A16" s="3" t="inlineStr">
        <is>
          <t>Monthly budget (₹)</t>
        </is>
      </c>
      <c r="B16" s="31" t="n">
        <v>5000</v>
      </c>
      <c r="C16" s="5" t="inlineStr">
        <is>
          <t>Set by owner 2026-10-02 (BUD-20261002)</t>
        </is>
      </c>
      <c r="D16" s="5" t="n"/>
    </row>
    <row r="17">
      <c r="A17" s="3" t="inlineStr">
        <is>
          <t>Headroom (₹)</t>
        </is>
      </c>
      <c r="B17" s="24">
        <f>B16-D13</f>
        <v/>
      </c>
      <c r="C17" s="5" t="n"/>
      <c r="D17" s="5" t="n"/>
    </row>
    <row r="18">
      <c r="A18" s="3" t="inlineStr">
        <is>
          <t>Budget used</t>
        </is>
      </c>
      <c r="B18" s="25">
        <f>IFERROR(D13/B16,0)</f>
        <v/>
      </c>
      <c r="C18" s="5" t="n"/>
      <c r="D18" s="5" t="n"/>
    </row>
    <row r="19">
      <c r="A19" s="3" t="inlineStr">
        <is>
          <t>Fits budget?</t>
        </is>
      </c>
      <c r="B19" s="5">
        <f>IF(D13&lt;=B16,"Yes","No")</f>
        <v/>
      </c>
      <c r="C19" s="5" t="n"/>
      <c r="D19" s="5" t="n"/>
    </row>
    <row r="21">
      <c r="A21" s="23" t="inlineStr">
        <is>
          <t>Scope: text-only, Option B (private EC2 + Bedrock). Voice adds ≈ ₹1,580 (local) or ≈ ₹3,040 (AWS) — see DESIGN.md §21.3–21.4.</t>
        </is>
      </c>
    </row>
    <row r="22">
      <c r="A22" s="23" t="inlineStr">
        <is>
          <t>Note: this sheet is the option-B baseline. The E2 (revised) Terraform estimate is on the Resources sheet; switch after D1.</t>
        </is>
      </c>
    </row>
  </sheetData>
  <autoFilter ref="A1:F11"/>
  <conditionalFormatting sqref="E2:E200">
    <cfRule type="cellIs" priority="1" operator="equal" dxfId="1">
      <formula>"Not verified"</formula>
    </cfRule>
    <cfRule type="cellIs" priority="2" operator="equal" dxfId="0">
      <formula>"Verified"</formula>
    </cfRule>
  </conditionalFormatting>
  <conditionalFormatting sqref="B19">
    <cfRule type="cellIs" priority="3" operator="equal" dxfId="0">
      <formula>"Yes"</formula>
    </cfRule>
    <cfRule type="cellIs" priority="4" operator="equal" dxfId="2">
      <formula>"No"</formula>
    </cfRule>
  </conditionalFormatting>
  <dataValidations count="1">
    <dataValidation sqref="E2:E200" showDropDown="0" showInputMessage="0" showErrorMessage="0" allowBlank="1" type="list">
      <formula1>"Verified,Not verified,Estimate,Calculated"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36" customWidth="1" min="4" max="4"/>
    <col width="12" customWidth="1" min="5" max="5"/>
    <col width="13" customWidth="1" min="6" max="6"/>
    <col width="32" customWidth="1" min="7" max="7"/>
    <col width="40" customWidth="1" min="8" max="8"/>
    <col width="11" customWidth="1" min="9" max="9"/>
    <col width="11" customWidth="1" min="10" max="10"/>
    <col width="48" customWidth="1" min="11" max="11"/>
    <col width="22" customWidth="1" min="12" max="12"/>
    <col width="18" customWidth="1" min="13" max="13"/>
    <col width="7" customWidth="1" min="14" max="14"/>
  </cols>
  <sheetData>
    <row r="1">
      <c r="A1" s="11" t="inlineStr">
        <is>
          <t>#</t>
        </is>
      </c>
      <c r="B1" s="11" t="inlineStr">
        <is>
          <t>Terraform address</t>
        </is>
      </c>
      <c r="C1" s="11" t="inlineStr">
        <is>
          <t>AWS resource</t>
        </is>
      </c>
      <c r="D1" s="11" t="inlineStr">
        <is>
          <t>Name</t>
        </is>
      </c>
      <c r="E1" s="11" t="inlineStr">
        <is>
          <t>Module</t>
        </is>
      </c>
      <c r="F1" s="11" t="inlineStr">
        <is>
          <t>Region / AZ</t>
        </is>
      </c>
      <c r="G1" s="11" t="inlineStr">
        <is>
          <t>Purpose</t>
        </is>
      </c>
      <c r="H1" s="11" t="inlineStr">
        <is>
          <t>Key settings</t>
        </is>
      </c>
      <c r="I1" s="11" t="inlineStr">
        <is>
          <t>USD / month</t>
        </is>
      </c>
      <c r="J1" s="11" t="inlineStr">
        <is>
          <t>INR / month</t>
        </is>
      </c>
      <c r="K1" s="11" t="inlineStr">
        <is>
          <t>Price basis / source</t>
        </is>
      </c>
      <c r="L1" s="11" t="inlineStr">
        <is>
          <t>Verified?</t>
        </is>
      </c>
      <c r="M1" s="11" t="inlineStr">
        <is>
          <t>Status</t>
        </is>
      </c>
      <c r="N1" s="11" t="inlineStr">
        <is>
          <t>Phase</t>
        </is>
      </c>
    </row>
    <row r="2">
      <c r="A2" s="12" t="n">
        <v>1</v>
      </c>
      <c r="B2" s="12" t="inlineStr">
        <is>
          <t>module.network.aws_vpc.this</t>
        </is>
      </c>
      <c r="C2" s="12" t="inlineStr">
        <is>
          <t>VPC</t>
        </is>
      </c>
      <c r="D2" s="12" t="inlineStr">
        <is>
          <t>weekend2-prod-vpc</t>
        </is>
      </c>
      <c r="E2" s="12" t="inlineStr">
        <is>
          <t>network</t>
        </is>
      </c>
      <c r="F2" s="12" t="inlineStr">
        <is>
          <t>ap-south-1</t>
        </is>
      </c>
      <c r="G2" s="12" t="inlineStr">
        <is>
          <t>Private network</t>
        </is>
      </c>
      <c r="H2" s="12" t="inlineStr">
        <is>
          <t>10.20.0.0/16; DNS hostnames on</t>
        </is>
      </c>
      <c r="I2" s="26" t="n">
        <v>0</v>
      </c>
      <c r="J2" s="27">
        <f>I2*Cost!$B$15</f>
        <v/>
      </c>
      <c r="K2" s="12" t="inlineStr">
        <is>
          <t>No charge for VPCs</t>
        </is>
      </c>
      <c r="L2" s="13" t="inlineStr">
        <is>
          <t>Verified</t>
        </is>
      </c>
      <c r="M2" s="13" t="inlineStr">
        <is>
          <t>Drafted (not applied)</t>
        </is>
      </c>
      <c r="N2" s="12" t="n">
        <v>1</v>
      </c>
    </row>
    <row r="3">
      <c r="A3" s="12" t="n">
        <v>2</v>
      </c>
      <c r="B3" s="12" t="inlineStr">
        <is>
          <t>module.network.aws_default_security_group.this</t>
        </is>
      </c>
      <c r="C3" s="12" t="inlineStr">
        <is>
          <t>Security group</t>
        </is>
      </c>
      <c r="D3" s="12" t="inlineStr">
        <is>
          <t>weekend2-prod-default-sg-locked</t>
        </is>
      </c>
      <c r="E3" s="12" t="inlineStr">
        <is>
          <t>network</t>
        </is>
      </c>
      <c r="F3" s="12" t="inlineStr">
        <is>
          <t>ap-south-1</t>
        </is>
      </c>
      <c r="G3" s="12" t="inlineStr">
        <is>
          <t>Lock the default SG</t>
        </is>
      </c>
      <c r="H3" s="12" t="inlineStr">
        <is>
          <t>No rules at all</t>
        </is>
      </c>
      <c r="I3" s="26" t="n">
        <v>0</v>
      </c>
      <c r="J3" s="27">
        <f>I3*Cost!$B$15</f>
        <v/>
      </c>
      <c r="K3" s="12" t="inlineStr">
        <is>
          <t>No charge</t>
        </is>
      </c>
      <c r="L3" s="13" t="inlineStr">
        <is>
          <t>Verified</t>
        </is>
      </c>
      <c r="M3" s="13" t="inlineStr">
        <is>
          <t>Drafted (not applied)</t>
        </is>
      </c>
      <c r="N3" s="12" t="n">
        <v>1</v>
      </c>
    </row>
    <row r="4">
      <c r="A4" s="12" t="n">
        <v>3</v>
      </c>
      <c r="B4" s="12" t="inlineStr">
        <is>
          <t>module.network.aws_internet_gateway.this</t>
        </is>
      </c>
      <c r="C4" s="12" t="inlineStr">
        <is>
          <t>Internet gateway</t>
        </is>
      </c>
      <c r="D4" s="12" t="inlineStr">
        <is>
          <t>weekend2-prod-igw</t>
        </is>
      </c>
      <c r="E4" s="12" t="inlineStr">
        <is>
          <t>network</t>
        </is>
      </c>
      <c r="F4" s="12" t="inlineStr">
        <is>
          <t>ap-south-1</t>
        </is>
      </c>
      <c r="G4" s="12" t="inlineStr">
        <is>
          <t>Egress for the entry node</t>
        </is>
      </c>
      <c r="H4" s="12" t="inlineStr">
        <is>
          <t>—</t>
        </is>
      </c>
      <c r="I4" s="26" t="n">
        <v>0</v>
      </c>
      <c r="J4" s="27">
        <f>I4*Cost!$B$15</f>
        <v/>
      </c>
      <c r="K4" s="12" t="inlineStr">
        <is>
          <t>No charge (data transfer separate)</t>
        </is>
      </c>
      <c r="L4" s="13" t="inlineStr">
        <is>
          <t>Verified</t>
        </is>
      </c>
      <c r="M4" s="13" t="inlineStr">
        <is>
          <t>Drafted (not applied)</t>
        </is>
      </c>
      <c r="N4" s="12" t="n">
        <v>1</v>
      </c>
    </row>
    <row r="5">
      <c r="A5" s="12" t="n">
        <v>4</v>
      </c>
      <c r="B5" s="12" t="inlineStr">
        <is>
          <t>module.network.aws_subnet.public_a</t>
        </is>
      </c>
      <c r="C5" s="12" t="inlineStr">
        <is>
          <t>Subnet</t>
        </is>
      </c>
      <c r="D5" s="12" t="inlineStr">
        <is>
          <t>weekend2-prod-public-a</t>
        </is>
      </c>
      <c r="E5" s="12" t="inlineStr">
        <is>
          <t>network</t>
        </is>
      </c>
      <c r="F5" s="12" t="inlineStr">
        <is>
          <t>ap-south-1a</t>
        </is>
      </c>
      <c r="G5" s="12" t="inlineStr">
        <is>
          <t>Entry node only</t>
        </is>
      </c>
      <c r="H5" s="12" t="inlineStr">
        <is>
          <t>10.20.0.0/24; no auto public IP</t>
        </is>
      </c>
      <c r="I5" s="26" t="n">
        <v>0</v>
      </c>
      <c r="J5" s="27">
        <f>I5*Cost!$B$15</f>
        <v/>
      </c>
      <c r="K5" s="12" t="inlineStr">
        <is>
          <t>No charge</t>
        </is>
      </c>
      <c r="L5" s="13" t="inlineStr">
        <is>
          <t>Verified</t>
        </is>
      </c>
      <c r="M5" s="13" t="inlineStr">
        <is>
          <t>Drafted (not applied)</t>
        </is>
      </c>
      <c r="N5" s="12" t="n">
        <v>1</v>
      </c>
    </row>
    <row r="6">
      <c r="A6" s="12" t="n">
        <v>5</v>
      </c>
      <c r="B6" s="12" t="inlineStr">
        <is>
          <t>module.network.aws_subnet.private["a"]</t>
        </is>
      </c>
      <c r="C6" s="12" t="inlineStr">
        <is>
          <t>Subnet</t>
        </is>
      </c>
      <c r="D6" s="12" t="inlineStr">
        <is>
          <t>weekend2-prod-private-a</t>
        </is>
      </c>
      <c r="E6" s="12" t="inlineStr">
        <is>
          <t>network</t>
        </is>
      </c>
      <c r="F6" s="12" t="inlineStr">
        <is>
          <t>ap-south-1a</t>
        </is>
      </c>
      <c r="G6" s="12" t="inlineStr">
        <is>
          <t>Aurora</t>
        </is>
      </c>
      <c r="H6" s="12" t="inlineStr">
        <is>
          <t>10.20.10.0/24; no internet route</t>
        </is>
      </c>
      <c r="I6" s="26" t="n">
        <v>0</v>
      </c>
      <c r="J6" s="27">
        <f>I6*Cost!$B$15</f>
        <v/>
      </c>
      <c r="K6" s="12" t="inlineStr">
        <is>
          <t>No charge</t>
        </is>
      </c>
      <c r="L6" s="13" t="inlineStr">
        <is>
          <t>Verified</t>
        </is>
      </c>
      <c r="M6" s="13" t="inlineStr">
        <is>
          <t>Drafted (not applied)</t>
        </is>
      </c>
      <c r="N6" s="12" t="n">
        <v>1</v>
      </c>
    </row>
    <row r="7">
      <c r="A7" s="12" t="n">
        <v>6</v>
      </c>
      <c r="B7" s="12" t="inlineStr">
        <is>
          <t>module.network.aws_subnet.private["b"]</t>
        </is>
      </c>
      <c r="C7" s="12" t="inlineStr">
        <is>
          <t>Subnet</t>
        </is>
      </c>
      <c r="D7" s="12" t="inlineStr">
        <is>
          <t>weekend2-prod-private-b</t>
        </is>
      </c>
      <c r="E7" s="12" t="inlineStr">
        <is>
          <t>network</t>
        </is>
      </c>
      <c r="F7" s="12" t="inlineStr">
        <is>
          <t>ap-south-1b</t>
        </is>
      </c>
      <c r="G7" s="12" t="inlineStr">
        <is>
          <t>Aurora (2nd AZ required)</t>
        </is>
      </c>
      <c r="H7" s="12" t="inlineStr">
        <is>
          <t>10.20.11.0/24; no internet route</t>
        </is>
      </c>
      <c r="I7" s="26" t="n">
        <v>0</v>
      </c>
      <c r="J7" s="27">
        <f>I7*Cost!$B$15</f>
        <v/>
      </c>
      <c r="K7" s="12" t="inlineStr">
        <is>
          <t>No charge</t>
        </is>
      </c>
      <c r="L7" s="13" t="inlineStr">
        <is>
          <t>Verified</t>
        </is>
      </c>
      <c r="M7" s="13" t="inlineStr">
        <is>
          <t>Drafted (not applied)</t>
        </is>
      </c>
      <c r="N7" s="12" t="n">
        <v>1</v>
      </c>
    </row>
    <row r="8">
      <c r="A8" s="12" t="n">
        <v>7</v>
      </c>
      <c r="B8" s="12" t="inlineStr">
        <is>
          <t>module.network.aws_route_table.public</t>
        </is>
      </c>
      <c r="C8" s="12" t="inlineStr">
        <is>
          <t>Route table</t>
        </is>
      </c>
      <c r="D8" s="12" t="inlineStr">
        <is>
          <t>weekend2-prod-public-rt</t>
        </is>
      </c>
      <c r="E8" s="12" t="inlineStr">
        <is>
          <t>network</t>
        </is>
      </c>
      <c r="F8" s="12" t="inlineStr">
        <is>
          <t>ap-south-1</t>
        </is>
      </c>
      <c r="G8" s="12" t="inlineStr">
        <is>
          <t>Public routing</t>
        </is>
      </c>
      <c r="H8" s="12" t="inlineStr">
        <is>
          <t>0.0.0.0/0 → IGW</t>
        </is>
      </c>
      <c r="I8" s="26" t="n">
        <v>0</v>
      </c>
      <c r="J8" s="27">
        <f>I8*Cost!$B$15</f>
        <v/>
      </c>
      <c r="K8" s="12" t="inlineStr">
        <is>
          <t>No charge</t>
        </is>
      </c>
      <c r="L8" s="13" t="inlineStr">
        <is>
          <t>Verified</t>
        </is>
      </c>
      <c r="M8" s="13" t="inlineStr">
        <is>
          <t>Drafted (not applied)</t>
        </is>
      </c>
      <c r="N8" s="12" t="n">
        <v>1</v>
      </c>
    </row>
    <row r="9">
      <c r="A9" s="12" t="n">
        <v>8</v>
      </c>
      <c r="B9" s="12" t="inlineStr">
        <is>
          <t>module.network.aws_route_table.private</t>
        </is>
      </c>
      <c r="C9" s="12" t="inlineStr">
        <is>
          <t>Route table</t>
        </is>
      </c>
      <c r="D9" s="12" t="inlineStr">
        <is>
          <t>weekend2-prod-private-rt</t>
        </is>
      </c>
      <c r="E9" s="12" t="inlineStr">
        <is>
          <t>network</t>
        </is>
      </c>
      <c r="F9" s="12" t="inlineStr">
        <is>
          <t>ap-south-1</t>
        </is>
      </c>
      <c r="G9" s="12" t="inlineStr">
        <is>
          <t>Private routing</t>
        </is>
      </c>
      <c r="H9" s="12" t="inlineStr">
        <is>
          <t>Local routes only; no NAT</t>
        </is>
      </c>
      <c r="I9" s="26" t="n">
        <v>0</v>
      </c>
      <c r="J9" s="27">
        <f>I9*Cost!$B$15</f>
        <v/>
      </c>
      <c r="K9" s="12" t="inlineStr">
        <is>
          <t>No charge</t>
        </is>
      </c>
      <c r="L9" s="13" t="inlineStr">
        <is>
          <t>Verified</t>
        </is>
      </c>
      <c r="M9" s="13" t="inlineStr">
        <is>
          <t>Drafted (not applied)</t>
        </is>
      </c>
      <c r="N9" s="12" t="n">
        <v>1</v>
      </c>
    </row>
    <row r="10">
      <c r="A10" s="12" t="n">
        <v>9</v>
      </c>
      <c r="B10" s="12" t="inlineStr">
        <is>
          <t>module.kms.aws_kms_key.data</t>
        </is>
      </c>
      <c r="C10" s="12" t="inlineStr">
        <is>
          <t>KMS key (CMK)</t>
        </is>
      </c>
      <c r="D10" s="12" t="inlineStr">
        <is>
          <t>weekend2-prod-data</t>
        </is>
      </c>
      <c r="E10" s="12" t="inlineStr">
        <is>
          <t>kms</t>
        </is>
      </c>
      <c r="F10" s="12" t="inlineStr">
        <is>
          <t>ap-south-1</t>
        </is>
      </c>
      <c r="G10" s="12" t="inlineStr">
        <is>
          <t>Encrypts Aurora, secrets, logs, EBS, S3 (P3)</t>
        </is>
      </c>
      <c r="H10" s="12" t="inlineStr">
        <is>
          <t>Rotation 365 d; 30 d deletion window</t>
        </is>
      </c>
      <c r="I10" s="26" t="n">
        <v>1</v>
      </c>
      <c r="J10" s="27">
        <f>I10*Cost!$B$15</f>
        <v/>
      </c>
      <c r="K10" s="12" t="inlineStr">
        <is>
          <t>$1/key-month (AWS Price List API ap-south-1 2026-09-11)</t>
        </is>
      </c>
      <c r="L10" s="13" t="inlineStr">
        <is>
          <t>Verified</t>
        </is>
      </c>
      <c r="M10" s="13" t="inlineStr">
        <is>
          <t>Drafted (not applied)</t>
        </is>
      </c>
      <c r="N10" s="12" t="n">
        <v>1</v>
      </c>
    </row>
    <row r="11">
      <c r="A11" s="12" t="n">
        <v>10</v>
      </c>
      <c r="B11" s="12" t="inlineStr">
        <is>
          <t>module.kms.aws_kms_alias.data</t>
        </is>
      </c>
      <c r="C11" s="12" t="inlineStr">
        <is>
          <t>KMS alias</t>
        </is>
      </c>
      <c r="D11" s="12" t="inlineStr">
        <is>
          <t>alias/weekend2-prod-data</t>
        </is>
      </c>
      <c r="E11" s="12" t="inlineStr">
        <is>
          <t>kms</t>
        </is>
      </c>
      <c r="F11" s="12" t="inlineStr">
        <is>
          <t>ap-south-1</t>
        </is>
      </c>
      <c r="G11" s="12" t="inlineStr">
        <is>
          <t>Friendly key name</t>
        </is>
      </c>
      <c r="H11" s="12" t="inlineStr">
        <is>
          <t>—</t>
        </is>
      </c>
      <c r="I11" s="26" t="n">
        <v>0</v>
      </c>
      <c r="J11" s="27">
        <f>I11*Cost!$B$15</f>
        <v/>
      </c>
      <c r="K11" s="12" t="inlineStr">
        <is>
          <t>No charge</t>
        </is>
      </c>
      <c r="L11" s="13" t="inlineStr">
        <is>
          <t>Verified</t>
        </is>
      </c>
      <c r="M11" s="13" t="inlineStr">
        <is>
          <t>Drafted (not applied)</t>
        </is>
      </c>
      <c r="N11" s="12" t="n">
        <v>1</v>
      </c>
    </row>
    <row r="12">
      <c r="A12" s="12" t="n">
        <v>11</v>
      </c>
      <c r="B12" s="12" t="inlineStr">
        <is>
          <t>module.secrets.aws_secretsmanager_secret.this["tailscale/authkey"]</t>
        </is>
      </c>
      <c r="C12" s="12" t="inlineStr">
        <is>
          <t>Secret</t>
        </is>
      </c>
      <c r="D12" s="12" t="inlineStr">
        <is>
          <t>weekend2-prod/tailscale/authkey</t>
        </is>
      </c>
      <c r="E12" s="12" t="inlineStr">
        <is>
          <t>secrets</t>
        </is>
      </c>
      <c r="F12" s="12" t="inlineStr">
        <is>
          <t>ap-south-1</t>
        </is>
      </c>
      <c r="G12" s="12" t="inlineStr">
        <is>
          <t>Entry node joins tailnet (P4)</t>
        </is>
      </c>
      <c r="H12" s="12" t="inlineStr">
        <is>
          <t>KMS; 7-day recovery</t>
        </is>
      </c>
      <c r="I12" s="26" t="n">
        <v>0.4</v>
      </c>
      <c r="J12" s="27">
        <f>I12*Cost!$B$15</f>
        <v/>
      </c>
      <c r="K12" s="12" t="inlineStr">
        <is>
          <t>$0.40/secret-month (AWS Price List API ap-south-1 2026-09-11)</t>
        </is>
      </c>
      <c r="L12" s="13" t="inlineStr">
        <is>
          <t>Verified</t>
        </is>
      </c>
      <c r="M12" s="13" t="inlineStr">
        <is>
          <t>Drafted (not applied)</t>
        </is>
      </c>
      <c r="N12" s="12" t="n">
        <v>2</v>
      </c>
    </row>
    <row r="13">
      <c r="A13" s="12" t="n">
        <v>12</v>
      </c>
      <c r="B13" s="12" t="inlineStr">
        <is>
          <t>module.secrets.aws_secretsmanager_secret.this["app/session-signing-key"]</t>
        </is>
      </c>
      <c r="C13" s="12" t="inlineStr">
        <is>
          <t>Secret</t>
        </is>
      </c>
      <c r="D13" s="12" t="inlineStr">
        <is>
          <t>weekend2-prod/app/session-signing-key</t>
        </is>
      </c>
      <c r="E13" s="12" t="inlineStr">
        <is>
          <t>secrets</t>
        </is>
      </c>
      <c r="F13" s="12" t="inlineStr">
        <is>
          <t>ap-south-1</t>
        </is>
      </c>
      <c r="G13" s="12" t="inlineStr">
        <is>
          <t>Passkey session cookies</t>
        </is>
      </c>
      <c r="H13" s="12" t="inlineStr">
        <is>
          <t>KMS</t>
        </is>
      </c>
      <c r="I13" s="26" t="n">
        <v>0.4</v>
      </c>
      <c r="J13" s="27">
        <f>I13*Cost!$B$15</f>
        <v/>
      </c>
      <c r="K13" s="12" t="inlineStr">
        <is>
          <t>$0.40/secret-month</t>
        </is>
      </c>
      <c r="L13" s="13" t="inlineStr">
        <is>
          <t>Verified</t>
        </is>
      </c>
      <c r="M13" s="13" t="inlineStr">
        <is>
          <t>Drafted (not applied)</t>
        </is>
      </c>
      <c r="N13" s="12" t="n">
        <v>2</v>
      </c>
    </row>
    <row r="14">
      <c r="A14" s="12" t="n">
        <v>13</v>
      </c>
      <c r="B14" s="12" t="inlineStr">
        <is>
          <t>module.secrets.aws_secretsmanager_secret.this["connectors/google-oauth-client"]</t>
        </is>
      </c>
      <c r="C14" s="12" t="inlineStr">
        <is>
          <t>Secret</t>
        </is>
      </c>
      <c r="D14" s="12" t="inlineStr">
        <is>
          <t>weekend2-prod/connectors/google-oauth-client</t>
        </is>
      </c>
      <c r="E14" s="12" t="inlineStr">
        <is>
          <t>secrets</t>
        </is>
      </c>
      <c r="F14" s="12" t="inlineStr">
        <is>
          <t>ap-south-1</t>
        </is>
      </c>
      <c r="G14" s="12" t="inlineStr">
        <is>
          <t>Calendar/Gmail connectors</t>
        </is>
      </c>
      <c r="H14" s="12" t="inlineStr">
        <is>
          <t>KMS; value set in Phase 3</t>
        </is>
      </c>
      <c r="I14" s="26" t="n">
        <v>0.4</v>
      </c>
      <c r="J14" s="27">
        <f>I14*Cost!$B$15</f>
        <v/>
      </c>
      <c r="K14" s="12" t="inlineStr">
        <is>
          <t>$0.40/secret-month</t>
        </is>
      </c>
      <c r="L14" s="13" t="inlineStr">
        <is>
          <t>Verified</t>
        </is>
      </c>
      <c r="M14" s="13" t="inlineStr">
        <is>
          <t>Drafted (not applied)</t>
        </is>
      </c>
      <c r="N14" s="12" t="n">
        <v>3</v>
      </c>
    </row>
    <row r="15">
      <c r="A15" s="12" t="n">
        <v>14</v>
      </c>
      <c r="B15" s="12" t="inlineStr">
        <is>
          <t>(RDS-managed, via aws_rds_cluster)</t>
        </is>
      </c>
      <c r="C15" s="12" t="inlineStr">
        <is>
          <t>Secret</t>
        </is>
      </c>
      <c r="D15" s="12" t="inlineStr">
        <is>
          <t>rds!cluster-&lt;id&gt; (auto-named)</t>
        </is>
      </c>
      <c r="E15" s="12" t="inlineStr">
        <is>
          <t>database</t>
        </is>
      </c>
      <c r="F15" s="12" t="inlineStr">
        <is>
          <t>ap-south-1</t>
        </is>
      </c>
      <c r="G15" s="12" t="inlineStr">
        <is>
          <t>Aurora master password, rotated by RDS</t>
        </is>
      </c>
      <c r="H15" s="12" t="inlineStr">
        <is>
          <t>KMS CMK</t>
        </is>
      </c>
      <c r="I15" s="26" t="n">
        <v>0.4</v>
      </c>
      <c r="J15" s="27">
        <f>I15*Cost!$B$15</f>
        <v/>
      </c>
      <c r="K15" s="12" t="inlineStr">
        <is>
          <t>$0.40/secret-month</t>
        </is>
      </c>
      <c r="L15" s="13" t="inlineStr">
        <is>
          <t>Verified</t>
        </is>
      </c>
      <c r="M15" s="13" t="inlineStr">
        <is>
          <t>Drafted (not applied)</t>
        </is>
      </c>
      <c r="N15" s="12" t="n">
        <v>1</v>
      </c>
    </row>
    <row r="16">
      <c r="A16" s="12" t="n">
        <v>15</v>
      </c>
      <c r="B16" s="12" t="inlineStr">
        <is>
          <t>module.database.aws_db_subnet_group.this</t>
        </is>
      </c>
      <c r="C16" s="12" t="inlineStr">
        <is>
          <t>DB subnet group</t>
        </is>
      </c>
      <c r="D16" s="12" t="inlineStr">
        <is>
          <t>weekend2-prod-aurora-subnets</t>
        </is>
      </c>
      <c r="E16" s="12" t="inlineStr">
        <is>
          <t>database</t>
        </is>
      </c>
      <c r="F16" s="12" t="inlineStr">
        <is>
          <t>ap-south-1a/1b</t>
        </is>
      </c>
      <c r="G16" s="12" t="inlineStr">
        <is>
          <t>Aurora placement</t>
        </is>
      </c>
      <c r="H16" s="12" t="inlineStr">
        <is>
          <t>private-a + private-b</t>
        </is>
      </c>
      <c r="I16" s="26" t="n">
        <v>0</v>
      </c>
      <c r="J16" s="27">
        <f>I16*Cost!$B$15</f>
        <v/>
      </c>
      <c r="K16" s="12" t="inlineStr">
        <is>
          <t>No charge</t>
        </is>
      </c>
      <c r="L16" s="13" t="inlineStr">
        <is>
          <t>Verified</t>
        </is>
      </c>
      <c r="M16" s="13" t="inlineStr">
        <is>
          <t>Drafted (not applied)</t>
        </is>
      </c>
      <c r="N16" s="12" t="n">
        <v>1</v>
      </c>
    </row>
    <row r="17">
      <c r="A17" s="12" t="n">
        <v>16</v>
      </c>
      <c r="B17" s="12" t="inlineStr">
        <is>
          <t>module.database.aws_security_group.aurora</t>
        </is>
      </c>
      <c r="C17" s="12" t="inlineStr">
        <is>
          <t>Security group</t>
        </is>
      </c>
      <c r="D17" s="12" t="inlineStr">
        <is>
          <t>weekend2-prod-aurora-sg</t>
        </is>
      </c>
      <c r="E17" s="12" t="inlineStr">
        <is>
          <t>database</t>
        </is>
      </c>
      <c r="F17" s="12" t="inlineStr">
        <is>
          <t>ap-south-1</t>
        </is>
      </c>
      <c r="G17" s="12" t="inlineStr">
        <is>
          <t>No network access</t>
        </is>
      </c>
      <c r="H17" s="12" t="inlineStr">
        <is>
          <t>No ingress; Data API only</t>
        </is>
      </c>
      <c r="I17" s="26" t="n">
        <v>0</v>
      </c>
      <c r="J17" s="27">
        <f>I17*Cost!$B$15</f>
        <v/>
      </c>
      <c r="K17" s="12" t="inlineStr">
        <is>
          <t>No charge</t>
        </is>
      </c>
      <c r="L17" s="13" t="inlineStr">
        <is>
          <t>Verified</t>
        </is>
      </c>
      <c r="M17" s="13" t="inlineStr">
        <is>
          <t>Drafted (not applied)</t>
        </is>
      </c>
      <c r="N17" s="12" t="n">
        <v>1</v>
      </c>
    </row>
    <row r="18">
      <c r="A18" s="12" t="n">
        <v>17</v>
      </c>
      <c r="B18" s="12" t="inlineStr">
        <is>
          <t>module.database.aws_rds_cluster.this</t>
        </is>
      </c>
      <c r="C18" s="12" t="inlineStr">
        <is>
          <t>Aurora PostgreSQL Serverless v2</t>
        </is>
      </c>
      <c r="D18" s="12" t="inlineStr">
        <is>
          <t>weekend2-prod-aurora</t>
        </is>
      </c>
      <c r="E18" s="12" t="inlineStr">
        <is>
          <t>database</t>
        </is>
      </c>
      <c r="F18" s="12" t="inlineStr">
        <is>
          <t>ap-south-1a/1b</t>
        </is>
      </c>
      <c r="G18" s="12" t="inlineStr">
        <is>
          <t>Conversations, memories (pgvector)</t>
        </is>
      </c>
      <c r="H18" s="12" t="inlineStr">
        <is>
          <t>0–2 ACU; auto-pause 300 s; Data API; KMS; deletion protection; 7-day backups</t>
        </is>
      </c>
      <c r="I18" s="26" t="n">
        <v>16.2</v>
      </c>
      <c r="J18" s="27">
        <f>I18*Cost!$B$15</f>
        <v/>
      </c>
      <c r="K18" s="12" t="inlineStr">
        <is>
          <t>$0.18/ACU-h (AWS Price List API ap-south-1) × 0.5 ACU × ~6 h/day × 30 — hours ESTIMATED</t>
        </is>
      </c>
      <c r="L18" s="13" t="inlineStr">
        <is>
          <t>Rate verified; usage estimate</t>
        </is>
      </c>
      <c r="M18" s="13" t="inlineStr">
        <is>
          <t>Drafted (not applied)</t>
        </is>
      </c>
      <c r="N18" s="12" t="n">
        <v>1</v>
      </c>
    </row>
    <row r="19">
      <c r="A19" s="12" t="n">
        <v>18</v>
      </c>
      <c r="B19" s="12" t="inlineStr">
        <is>
          <t>module.database.aws_rds_cluster_instance.writer</t>
        </is>
      </c>
      <c r="C19" s="12" t="inlineStr">
        <is>
          <t>DB instance</t>
        </is>
      </c>
      <c r="D19" s="12" t="inlineStr">
        <is>
          <t>weekend2-prod-aurora-1</t>
        </is>
      </c>
      <c r="E19" s="12" t="inlineStr">
        <is>
          <t>database</t>
        </is>
      </c>
      <c r="F19" s="12" t="inlineStr">
        <is>
          <t>ap-south-1</t>
        </is>
      </c>
      <c r="G19" s="12" t="inlineStr">
        <is>
          <t>Writer</t>
        </is>
      </c>
      <c r="H19" s="12" t="inlineStr">
        <is>
          <t>db.serverless; not public</t>
        </is>
      </c>
      <c r="I19" s="26" t="n">
        <v>0</v>
      </c>
      <c r="J19" s="27">
        <f>I19*Cost!$B$15</f>
        <v/>
      </c>
      <c r="K19" s="12" t="inlineStr">
        <is>
          <t>Billed as cluster ACU</t>
        </is>
      </c>
      <c r="L19" s="13" t="inlineStr">
        <is>
          <t>Verified</t>
        </is>
      </c>
      <c r="M19" s="13" t="inlineStr">
        <is>
          <t>Drafted (not applied)</t>
        </is>
      </c>
      <c r="N19" s="12" t="n">
        <v>1</v>
      </c>
    </row>
    <row r="20">
      <c r="A20" s="12" t="n">
        <v>19</v>
      </c>
      <c r="B20" s="12" t="inlineStr">
        <is>
          <t>(Aurora storage + I/O)</t>
        </is>
      </c>
      <c r="C20" s="12" t="inlineStr">
        <is>
          <t>Storage</t>
        </is>
      </c>
      <c r="D20" s="12" t="inlineStr">
        <is>
          <t>—</t>
        </is>
      </c>
      <c r="E20" s="12" t="inlineStr">
        <is>
          <t>database</t>
        </is>
      </c>
      <c r="F20" s="12" t="inlineStr">
        <is>
          <t>ap-south-1</t>
        </is>
      </c>
      <c r="G20" s="12" t="inlineStr">
        <is>
          <t>Data at rest</t>
        </is>
      </c>
      <c r="H20" s="12" t="inlineStr">
        <is>
          <t>Encrypted</t>
        </is>
      </c>
      <c r="I20" s="26" t="n">
        <v>0.44</v>
      </c>
      <c r="J20" s="27">
        <f>I20*Cost!$B$15</f>
        <v/>
      </c>
      <c r="K20" s="12" t="inlineStr">
        <is>
          <t>~2 GB × $0.11/GB-mo + ~1M I/O × $0.22/M (rates verified)</t>
        </is>
      </c>
      <c r="L20" s="13" t="inlineStr">
        <is>
          <t>Rate verified; volume estimate</t>
        </is>
      </c>
      <c r="M20" s="13" t="inlineStr">
        <is>
          <t>Drafted (not applied)</t>
        </is>
      </c>
      <c r="N20" s="12" t="n">
        <v>1</v>
      </c>
    </row>
    <row r="21">
      <c r="A21" s="12" t="n">
        <v>20</v>
      </c>
      <c r="B21" s="12" t="inlineStr">
        <is>
          <t>module.app.aws_lambda_function.api</t>
        </is>
      </c>
      <c r="C21" s="12" t="inlineStr">
        <is>
          <t>Lambda</t>
        </is>
      </c>
      <c r="D21" s="12" t="inlineStr">
        <is>
          <t>weekend2-prod-api</t>
        </is>
      </c>
      <c r="E21" s="12" t="inlineStr">
        <is>
          <t>app</t>
        </is>
      </c>
      <c r="F21" s="12" t="inlineStr">
        <is>
          <t>ap-south-1</t>
        </is>
      </c>
      <c r="G21" s="12" t="inlineStr">
        <is>
          <t>Chat, voice, memory API</t>
        </is>
      </c>
      <c r="H21" s="12" t="inlineStr">
        <is>
          <t>python3.14; arm64; 1024 MB; 60 s; KMS env</t>
        </is>
      </c>
      <c r="I21" s="26" t="n">
        <v>0</v>
      </c>
      <c r="J21" s="27">
        <f>I21*Cost!$B$15</f>
        <v/>
      </c>
      <c r="K21" s="12" t="inlineStr">
        <is>
          <t>Within free tier (1M req + 400k GB-s/mo); beyond: $0.0000133334/GB-s ARM (verified)</t>
        </is>
      </c>
      <c r="L21" s="13" t="inlineStr">
        <is>
          <t>Rate verified; free tier Not verified</t>
        </is>
      </c>
      <c r="M21" s="13" t="inlineStr">
        <is>
          <t>Drafted (not applied)</t>
        </is>
      </c>
      <c r="N21" s="12" t="n">
        <v>1</v>
      </c>
    </row>
    <row r="22">
      <c r="A22" s="12" t="n">
        <v>21</v>
      </c>
      <c r="B22" s="12" t="inlineStr">
        <is>
          <t>module.app.aws_lambda_function_url.api</t>
        </is>
      </c>
      <c r="C22" s="12" t="inlineStr">
        <is>
          <t>Lambda Function URL</t>
        </is>
      </c>
      <c r="D22" s="12" t="inlineStr">
        <is>
          <t>weekend2-prod-api (URL)</t>
        </is>
      </c>
      <c r="E22" s="12" t="inlineStr">
        <is>
          <t>app</t>
        </is>
      </c>
      <c r="F22" s="12" t="inlineStr">
        <is>
          <t>ap-south-1</t>
        </is>
      </c>
      <c r="G22" s="12" t="inlineStr">
        <is>
          <t>Private entry for the API</t>
        </is>
      </c>
      <c r="H22" s="12" t="inlineStr">
        <is>
          <t>AWS_IAM auth; RESPONSE_STREAM</t>
        </is>
      </c>
      <c r="I22" s="26" t="n">
        <v>0</v>
      </c>
      <c r="J22" s="27">
        <f>I22*Cost!$B$15</f>
        <v/>
      </c>
      <c r="K22" s="12" t="inlineStr">
        <is>
          <t>No charge</t>
        </is>
      </c>
      <c r="L22" s="13" t="inlineStr">
        <is>
          <t>Verified</t>
        </is>
      </c>
      <c r="M22" s="13" t="inlineStr">
        <is>
          <t>Drafted (not applied)</t>
        </is>
      </c>
      <c r="N22" s="12" t="n">
        <v>1</v>
      </c>
    </row>
    <row r="23">
      <c r="A23" s="12" t="n">
        <v>22</v>
      </c>
      <c r="B23" s="12" t="inlineStr">
        <is>
          <t>module.app.aws_iam_role.api</t>
        </is>
      </c>
      <c r="C23" s="12" t="inlineStr">
        <is>
          <t>IAM role</t>
        </is>
      </c>
      <c r="D23" s="12" t="inlineStr">
        <is>
          <t>weekend2-prod-api-role</t>
        </is>
      </c>
      <c r="E23" s="12" t="inlineStr">
        <is>
          <t>app</t>
        </is>
      </c>
      <c r="F23" s="12" t="inlineStr">
        <is>
          <t>global</t>
        </is>
      </c>
      <c r="G23" s="12" t="inlineStr">
        <is>
          <t>API permissions</t>
        </is>
      </c>
      <c r="H23" s="12" t="inlineStr">
        <is>
          <t>Data API, own secrets, KMS, Bedrock in.*, reminder schedules</t>
        </is>
      </c>
      <c r="I23" s="26" t="n">
        <v>0</v>
      </c>
      <c r="J23" s="27">
        <f>I23*Cost!$B$15</f>
        <v/>
      </c>
      <c r="K23" s="12" t="inlineStr">
        <is>
          <t>No charge</t>
        </is>
      </c>
      <c r="L23" s="13" t="inlineStr">
        <is>
          <t>Verified</t>
        </is>
      </c>
      <c r="M23" s="13" t="inlineStr">
        <is>
          <t>Drafted (not applied)</t>
        </is>
      </c>
      <c r="N23" s="12" t="n">
        <v>1</v>
      </c>
    </row>
    <row r="24">
      <c r="A24" s="12" t="n">
        <v>23</v>
      </c>
      <c r="B24" s="12" t="inlineStr">
        <is>
          <t>module.app.aws_cloudwatch_log_group.api</t>
        </is>
      </c>
      <c r="C24" s="12" t="inlineStr">
        <is>
          <t>Log group</t>
        </is>
      </c>
      <c r="D24" s="12" t="inlineStr">
        <is>
          <t>/aws/lambda/weekend2-prod-api</t>
        </is>
      </c>
      <c r="E24" s="12" t="inlineStr">
        <is>
          <t>app</t>
        </is>
      </c>
      <c r="F24" s="12" t="inlineStr">
        <is>
          <t>ap-south-1</t>
        </is>
      </c>
      <c r="G24" s="12" t="inlineStr">
        <is>
          <t>API logs (no message content)</t>
        </is>
      </c>
      <c r="H24" s="12" t="inlineStr">
        <is>
          <t>14 days; KMS; JSON</t>
        </is>
      </c>
      <c r="I24" s="26" t="n">
        <v>0.5</v>
      </c>
      <c r="J24" s="27">
        <f>I24*Cost!$B$15</f>
        <v/>
      </c>
      <c r="K24" s="12" t="inlineStr">
        <is>
          <t>$0.67/GB ingest + $0.03/GB-mo (verified); volume estimate</t>
        </is>
      </c>
      <c r="L24" s="13" t="inlineStr">
        <is>
          <t>Estimate</t>
        </is>
      </c>
      <c r="M24" s="13" t="inlineStr">
        <is>
          <t>Drafted (not applied)</t>
        </is>
      </c>
      <c r="N24" s="12" t="n">
        <v>1</v>
      </c>
    </row>
    <row r="25">
      <c r="A25" s="12" t="n">
        <v>24</v>
      </c>
      <c r="B25" s="12" t="inlineStr">
        <is>
          <t>module.app.aws_lambda_function.worker</t>
        </is>
      </c>
      <c r="C25" s="12" t="inlineStr">
        <is>
          <t>Lambda</t>
        </is>
      </c>
      <c r="D25" s="12" t="inlineStr">
        <is>
          <t>weekend2-prod-worker</t>
        </is>
      </c>
      <c r="E25" s="12" t="inlineStr">
        <is>
          <t>app</t>
        </is>
      </c>
      <c r="F25" s="12" t="inlineStr">
        <is>
          <t>ap-south-1</t>
        </is>
      </c>
      <c r="G25" s="12" t="inlineStr">
        <is>
          <t>Scheduled jobs</t>
        </is>
      </c>
      <c r="H25" s="12" t="inlineStr">
        <is>
          <t>python3.14; arm64; 512 MB; 300 s</t>
        </is>
      </c>
      <c r="I25" s="26" t="n">
        <v>0</v>
      </c>
      <c r="J25" s="27">
        <f>I25*Cost!$B$15</f>
        <v/>
      </c>
      <c r="K25" s="12" t="inlineStr">
        <is>
          <t>Within free tier</t>
        </is>
      </c>
      <c r="L25" s="13" t="inlineStr">
        <is>
          <t>Rate verified; free tier Not verified</t>
        </is>
      </c>
      <c r="M25" s="13" t="inlineStr">
        <is>
          <t>Drafted (not applied)</t>
        </is>
      </c>
      <c r="N25" s="12" t="n">
        <v>3</v>
      </c>
    </row>
    <row r="26">
      <c r="A26" s="12" t="n">
        <v>25</v>
      </c>
      <c r="B26" s="12" t="inlineStr">
        <is>
          <t>module.app.aws_iam_role.worker</t>
        </is>
      </c>
      <c r="C26" s="12" t="inlineStr">
        <is>
          <t>IAM role</t>
        </is>
      </c>
      <c r="D26" s="12" t="inlineStr">
        <is>
          <t>weekend2-prod-worker-role</t>
        </is>
      </c>
      <c r="E26" s="12" t="inlineStr">
        <is>
          <t>app</t>
        </is>
      </c>
      <c r="F26" s="12" t="inlineStr">
        <is>
          <t>global</t>
        </is>
      </c>
      <c r="G26" s="12" t="inlineStr">
        <is>
          <t>Worker permissions</t>
        </is>
      </c>
      <c r="H26" s="12" t="inlineStr">
        <is>
          <t>Data API, secrets, KMS, backup bucket</t>
        </is>
      </c>
      <c r="I26" s="26" t="n">
        <v>0</v>
      </c>
      <c r="J26" s="27">
        <f>I26*Cost!$B$15</f>
        <v/>
      </c>
      <c r="K26" s="12" t="inlineStr">
        <is>
          <t>No charge</t>
        </is>
      </c>
      <c r="L26" s="13" t="inlineStr">
        <is>
          <t>Verified</t>
        </is>
      </c>
      <c r="M26" s="13" t="inlineStr">
        <is>
          <t>Drafted (not applied)</t>
        </is>
      </c>
      <c r="N26" s="12" t="n">
        <v>3</v>
      </c>
    </row>
    <row r="27">
      <c r="A27" s="12" t="n">
        <v>26</v>
      </c>
      <c r="B27" s="12" t="inlineStr">
        <is>
          <t>module.app.aws_cloudwatch_log_group.worker</t>
        </is>
      </c>
      <c r="C27" s="12" t="inlineStr">
        <is>
          <t>Log group</t>
        </is>
      </c>
      <c r="D27" s="12" t="inlineStr">
        <is>
          <t>/aws/lambda/weekend2-prod-worker</t>
        </is>
      </c>
      <c r="E27" s="12" t="inlineStr">
        <is>
          <t>app</t>
        </is>
      </c>
      <c r="F27" s="12" t="inlineStr">
        <is>
          <t>ap-south-1</t>
        </is>
      </c>
      <c r="G27" s="12" t="inlineStr">
        <is>
          <t>Worker logs</t>
        </is>
      </c>
      <c r="H27" s="12" t="inlineStr">
        <is>
          <t>14 days; KMS</t>
        </is>
      </c>
      <c r="I27" s="26" t="n">
        <v>0.25</v>
      </c>
      <c r="J27" s="27">
        <f>I27*Cost!$B$15</f>
        <v/>
      </c>
      <c r="K27" s="12" t="inlineStr">
        <is>
          <t>$0.67/GB ingest; volume estimate</t>
        </is>
      </c>
      <c r="L27" s="13" t="inlineStr">
        <is>
          <t>Estimate</t>
        </is>
      </c>
      <c r="M27" s="13" t="inlineStr">
        <is>
          <t>Drafted (not applied)</t>
        </is>
      </c>
      <c r="N27" s="12" t="n">
        <v>3</v>
      </c>
    </row>
    <row r="28">
      <c r="A28" s="12" t="n">
        <v>27</v>
      </c>
      <c r="B28" s="12" t="inlineStr">
        <is>
          <t>module.scheduler.aws_scheduler_schedule_group.this</t>
        </is>
      </c>
      <c r="C28" s="12" t="inlineStr">
        <is>
          <t>Schedule group</t>
        </is>
      </c>
      <c r="D28" s="12" t="inlineStr">
        <is>
          <t>weekend2-prod</t>
        </is>
      </c>
      <c r="E28" s="12" t="inlineStr">
        <is>
          <t>scheduler</t>
        </is>
      </c>
      <c r="F28" s="12" t="inlineStr">
        <is>
          <t>ap-south-1</t>
        </is>
      </c>
      <c r="G28" s="12" t="inlineStr">
        <is>
          <t>Holds daily + reminder schedules</t>
        </is>
      </c>
      <c r="H28" s="12" t="inlineStr">
        <is>
          <t>—</t>
        </is>
      </c>
      <c r="I28" s="26" t="n">
        <v>0</v>
      </c>
      <c r="J28" s="27">
        <f>I28*Cost!$B$15</f>
        <v/>
      </c>
      <c r="K28" s="12" t="inlineStr">
        <is>
          <t>No charge</t>
        </is>
      </c>
      <c r="L28" s="13" t="inlineStr">
        <is>
          <t>Verified</t>
        </is>
      </c>
      <c r="M28" s="13" t="inlineStr">
        <is>
          <t>Drafted (not applied)</t>
        </is>
      </c>
      <c r="N28" s="12" t="n">
        <v>2</v>
      </c>
    </row>
    <row r="29">
      <c r="A29" s="12" t="n">
        <v>28</v>
      </c>
      <c r="B29" s="12" t="inlineStr">
        <is>
          <t>module.scheduler.aws_scheduler_schedule.daily["retention"]</t>
        </is>
      </c>
      <c r="C29" s="12" t="inlineStr">
        <is>
          <t>Schedule</t>
        </is>
      </c>
      <c r="D29" s="12" t="inlineStr">
        <is>
          <t>weekend2-prod-retention-daily</t>
        </is>
      </c>
      <c r="E29" s="12" t="inlineStr">
        <is>
          <t>scheduler</t>
        </is>
      </c>
      <c r="F29" s="12" t="inlineStr">
        <is>
          <t>ap-south-1</t>
        </is>
      </c>
      <c r="G29" s="12" t="inlineStr">
        <is>
          <t>Retention cleanup (P5)</t>
        </is>
      </c>
      <c r="H29" s="12" t="inlineStr">
        <is>
          <t>cron 03:00 Asia/Kolkata</t>
        </is>
      </c>
      <c r="I29" s="26" t="n">
        <v>0</v>
      </c>
      <c r="J29" s="27">
        <f>I29*Cost!$B$15</f>
        <v/>
      </c>
      <c r="K29" s="12" t="inlineStr">
        <is>
          <t>Free tier 14M invocations/mo</t>
        </is>
      </c>
      <c r="L29" s="13" t="inlineStr">
        <is>
          <t>Not verified</t>
        </is>
      </c>
      <c r="M29" s="13" t="inlineStr">
        <is>
          <t>Drafted (not applied)</t>
        </is>
      </c>
      <c r="N29" s="12" t="n">
        <v>3</v>
      </c>
    </row>
    <row r="30">
      <c r="A30" s="12" t="n">
        <v>29</v>
      </c>
      <c r="B30" s="12" t="inlineStr">
        <is>
          <t>module.scheduler.aws_scheduler_schedule.daily["export"]</t>
        </is>
      </c>
      <c r="C30" s="12" t="inlineStr">
        <is>
          <t>Schedule</t>
        </is>
      </c>
      <c r="D30" s="12" t="inlineStr">
        <is>
          <t>weekend2-prod-export-daily</t>
        </is>
      </c>
      <c r="E30" s="12" t="inlineStr">
        <is>
          <t>scheduler</t>
        </is>
      </c>
      <c r="F30" s="12" t="inlineStr">
        <is>
          <t>ap-south-1</t>
        </is>
      </c>
      <c r="G30" s="12" t="inlineStr">
        <is>
          <t>Encrypted export (P6/P10)</t>
        </is>
      </c>
      <c r="H30" s="12" t="inlineStr">
        <is>
          <t>cron 03:30 Asia/Kolkata</t>
        </is>
      </c>
      <c r="I30" s="26" t="n">
        <v>0</v>
      </c>
      <c r="J30" s="27">
        <f>I30*Cost!$B$15</f>
        <v/>
      </c>
      <c r="K30" s="12" t="inlineStr">
        <is>
          <t>Free tier 14M invocations/mo</t>
        </is>
      </c>
      <c r="L30" s="13" t="inlineStr">
        <is>
          <t>Not verified</t>
        </is>
      </c>
      <c r="M30" s="13" t="inlineStr">
        <is>
          <t>Drafted (not applied)</t>
        </is>
      </c>
      <c r="N30" s="12" t="n">
        <v>3</v>
      </c>
    </row>
    <row r="31">
      <c r="A31" s="12" t="n">
        <v>30</v>
      </c>
      <c r="B31" s="12" t="inlineStr">
        <is>
          <t>module.scheduler.aws_iam_role.scheduler</t>
        </is>
      </c>
      <c r="C31" s="12" t="inlineStr">
        <is>
          <t>IAM role</t>
        </is>
      </c>
      <c r="D31" s="12" t="inlineStr">
        <is>
          <t>weekend2-prod-scheduler-role</t>
        </is>
      </c>
      <c r="E31" s="12" t="inlineStr">
        <is>
          <t>scheduler</t>
        </is>
      </c>
      <c r="F31" s="12" t="inlineStr">
        <is>
          <t>global</t>
        </is>
      </c>
      <c r="G31" s="12" t="inlineStr">
        <is>
          <t>Scheduler → worker</t>
        </is>
      </c>
      <c r="H31" s="12" t="inlineStr">
        <is>
          <t>lambda:InvokeFunction on worker only</t>
        </is>
      </c>
      <c r="I31" s="26" t="n">
        <v>0</v>
      </c>
      <c r="J31" s="27">
        <f>I31*Cost!$B$15</f>
        <v/>
      </c>
      <c r="K31" s="12" t="inlineStr">
        <is>
          <t>No charge</t>
        </is>
      </c>
      <c r="L31" s="13" t="inlineStr">
        <is>
          <t>Verified</t>
        </is>
      </c>
      <c r="M31" s="13" t="inlineStr">
        <is>
          <t>Drafted (not applied)</t>
        </is>
      </c>
      <c r="N31" s="12" t="n">
        <v>2</v>
      </c>
    </row>
    <row r="32">
      <c r="A32" s="12" t="n">
        <v>31</v>
      </c>
      <c r="B32" s="12" t="inlineStr">
        <is>
          <t>module.entry_node.aws_instance.this</t>
        </is>
      </c>
      <c r="C32" s="12" t="inlineStr">
        <is>
          <t>EC2 t4g.nano</t>
        </is>
      </c>
      <c r="D32" s="12" t="inlineStr">
        <is>
          <t>weekend2-prod-entry (tailnet: node-a1)</t>
        </is>
      </c>
      <c r="E32" s="12" t="inlineStr">
        <is>
          <t>entry_node</t>
        </is>
      </c>
      <c r="F32" s="12" t="inlineStr">
        <is>
          <t>ap-south-1a</t>
        </is>
      </c>
      <c r="G32" s="12" t="inlineStr">
        <is>
          <t>Only server: tailnet entry + SigV4 forwarder</t>
        </is>
      </c>
      <c r="H32" s="12" t="inlineStr">
        <is>
          <t>AL2023 arm64; IMDSv2; no inbound; SSM; standard credits</t>
        </is>
      </c>
      <c r="I32" s="26" t="n">
        <v>2.044</v>
      </c>
      <c r="J32" s="27">
        <f>I32*Cost!$B$15</f>
        <v/>
      </c>
      <c r="K32" s="12" t="inlineStr">
        <is>
          <t>$0.0028/h × 730 (AWS Price List API ap-south-1 2026-09-25)</t>
        </is>
      </c>
      <c r="L32" s="13" t="inlineStr">
        <is>
          <t>Verified</t>
        </is>
      </c>
      <c r="M32" s="13" t="inlineStr">
        <is>
          <t>Drafted (not applied)</t>
        </is>
      </c>
      <c r="N32" s="12" t="n">
        <v>2</v>
      </c>
    </row>
    <row r="33">
      <c r="A33" s="12" t="n">
        <v>32</v>
      </c>
      <c r="B33" s="12" t="inlineStr">
        <is>
          <t>(root_block_device of aws_instance.this)</t>
        </is>
      </c>
      <c r="C33" s="12" t="inlineStr">
        <is>
          <t>EBS gp3 8 GB</t>
        </is>
      </c>
      <c r="D33" s="12" t="inlineStr">
        <is>
          <t>—</t>
        </is>
      </c>
      <c r="E33" s="12" t="inlineStr">
        <is>
          <t>entry_node</t>
        </is>
      </c>
      <c r="F33" s="12" t="inlineStr">
        <is>
          <t>ap-south-1a</t>
        </is>
      </c>
      <c r="G33" s="12" t="inlineStr">
        <is>
          <t>Root disk</t>
        </is>
      </c>
      <c r="H33" s="12" t="inlineStr">
        <is>
          <t>Encrypted with CMK</t>
        </is>
      </c>
      <c r="I33" s="26" t="n">
        <v>0.73</v>
      </c>
      <c r="J33" s="27">
        <f>I33*Cost!$B$15</f>
        <v/>
      </c>
      <c r="K33" s="12" t="inlineStr">
        <is>
          <t>$0.0912/GB-mo × 8 (2026-09-25)</t>
        </is>
      </c>
      <c r="L33" s="13" t="inlineStr">
        <is>
          <t>Verified</t>
        </is>
      </c>
      <c r="M33" s="13" t="inlineStr">
        <is>
          <t>Drafted (not applied)</t>
        </is>
      </c>
      <c r="N33" s="12" t="n">
        <v>2</v>
      </c>
    </row>
    <row r="34">
      <c r="A34" s="12" t="n">
        <v>33</v>
      </c>
      <c r="B34" s="12" t="inlineStr">
        <is>
          <t>(associate_public_ip_address)</t>
        </is>
      </c>
      <c r="C34" s="12" t="inlineStr">
        <is>
          <t>Public IPv4</t>
        </is>
      </c>
      <c r="D34" s="12" t="inlineStr">
        <is>
          <t>—</t>
        </is>
      </c>
      <c r="E34" s="12" t="inlineStr">
        <is>
          <t>entry_node</t>
        </is>
      </c>
      <c r="F34" s="12" t="inlineStr">
        <is>
          <t>ap-south-1a</t>
        </is>
      </c>
      <c r="G34" s="12" t="inlineStr">
        <is>
          <t>Egress only (no inbound rules)</t>
        </is>
      </c>
      <c r="H34" s="12" t="inlineStr">
        <is>
          <t>—</t>
        </is>
      </c>
      <c r="I34" s="26" t="n">
        <v>3.65</v>
      </c>
      <c r="J34" s="27">
        <f>I34*Cost!$B$15</f>
        <v/>
      </c>
      <c r="K34" s="12" t="inlineStr">
        <is>
          <t>$0.005/h × 730 (AmazonVPC 2026-09-17)</t>
        </is>
      </c>
      <c r="L34" s="13" t="inlineStr">
        <is>
          <t>Verified</t>
        </is>
      </c>
      <c r="M34" s="13" t="inlineStr">
        <is>
          <t>Drafted (not applied)</t>
        </is>
      </c>
      <c r="N34" s="12" t="n">
        <v>2</v>
      </c>
    </row>
    <row r="35">
      <c r="A35" s="12" t="n">
        <v>34</v>
      </c>
      <c r="B35" s="12" t="inlineStr">
        <is>
          <t>module.entry_node.aws_security_group.entry</t>
        </is>
      </c>
      <c r="C35" s="12" t="inlineStr">
        <is>
          <t>Security group</t>
        </is>
      </c>
      <c r="D35" s="12" t="inlineStr">
        <is>
          <t>weekend2-prod-entry-sg</t>
        </is>
      </c>
      <c r="E35" s="12" t="inlineStr">
        <is>
          <t>entry_node</t>
        </is>
      </c>
      <c r="F35" s="12" t="inlineStr">
        <is>
          <t>ap-south-1</t>
        </is>
      </c>
      <c r="G35" s="12" t="inlineStr">
        <is>
          <t>Egress-only firewall</t>
        </is>
      </c>
      <c r="H35" s="12" t="inlineStr">
        <is>
          <t>Out: 443/tcp, 41641/udp, 3478/udp</t>
        </is>
      </c>
      <c r="I35" s="26" t="n">
        <v>0</v>
      </c>
      <c r="J35" s="27">
        <f>I35*Cost!$B$15</f>
        <v/>
      </c>
      <c r="K35" s="12" t="inlineStr">
        <is>
          <t>No charge</t>
        </is>
      </c>
      <c r="L35" s="13" t="inlineStr">
        <is>
          <t>Verified</t>
        </is>
      </c>
      <c r="M35" s="13" t="inlineStr">
        <is>
          <t>Drafted (not applied)</t>
        </is>
      </c>
      <c r="N35" s="12" t="n">
        <v>2</v>
      </c>
    </row>
    <row r="36">
      <c r="A36" s="12" t="n">
        <v>35</v>
      </c>
      <c r="B36" s="12" t="inlineStr">
        <is>
          <t>module.entry_node.aws_iam_role.entry + instance profile</t>
        </is>
      </c>
      <c r="C36" s="12" t="inlineStr">
        <is>
          <t>IAM role/profile</t>
        </is>
      </c>
      <c r="D36" s="12" t="inlineStr">
        <is>
          <t>weekend2-prod-entry-role / weekend2-prod-entry-profile</t>
        </is>
      </c>
      <c r="E36" s="12" t="inlineStr">
        <is>
          <t>entry_node</t>
        </is>
      </c>
      <c r="F36" s="12" t="inlineStr">
        <is>
          <t>global</t>
        </is>
      </c>
      <c r="G36" s="12" t="inlineStr">
        <is>
          <t>SSM + read Tailscale key + call API URL</t>
        </is>
      </c>
      <c r="H36" s="12" t="inlineStr">
        <is>
          <t>Least privilege</t>
        </is>
      </c>
      <c r="I36" s="26" t="n">
        <v>0</v>
      </c>
      <c r="J36" s="27">
        <f>I36*Cost!$B$15</f>
        <v/>
      </c>
      <c r="K36" s="12" t="inlineStr">
        <is>
          <t>No charge</t>
        </is>
      </c>
      <c r="L36" s="13" t="inlineStr">
        <is>
          <t>Verified</t>
        </is>
      </c>
      <c r="M36" s="13" t="inlineStr">
        <is>
          <t>Drafted (not applied)</t>
        </is>
      </c>
      <c r="N36" s="12" t="n">
        <v>2</v>
      </c>
    </row>
    <row r="37">
      <c r="A37" s="12" t="n">
        <v>36</v>
      </c>
      <c r="B37" s="12" t="inlineStr">
        <is>
          <t>module.backup.aws_s3_bucket.this</t>
        </is>
      </c>
      <c r="C37" s="12" t="inlineStr">
        <is>
          <t>S3 bucket</t>
        </is>
      </c>
      <c r="D37" s="12" t="inlineStr">
        <is>
          <t>weekend2-prod-backups-&lt;account-id&gt;</t>
        </is>
      </c>
      <c r="E37" s="12" t="inlineStr">
        <is>
          <t>backup</t>
        </is>
      </c>
      <c r="F37" s="12" t="inlineStr">
        <is>
          <t>ap-south-1</t>
        </is>
      </c>
      <c r="G37" s="12" t="inlineStr">
        <is>
          <t>Exports, audit copies, restore drills</t>
        </is>
      </c>
      <c r="H37" s="12" t="inlineStr">
        <is>
          <t>Object Lock governance 35 d; SSE-KMS; versioning; TLS-only; lifecycle</t>
        </is>
      </c>
      <c r="I37" s="26" t="n">
        <v>0.48</v>
      </c>
      <c r="J37" s="27">
        <f>I37*Cost!$B$15</f>
        <v/>
      </c>
      <c r="K37" s="12" t="inlineStr">
        <is>
          <t>~15 GB × $0.025/GB-mo (verified) + requests</t>
        </is>
      </c>
      <c r="L37" s="13" t="inlineStr">
        <is>
          <t>Rate verified; volume estimate</t>
        </is>
      </c>
      <c r="M37" s="13" t="inlineStr">
        <is>
          <t>Drafted (not applied)</t>
        </is>
      </c>
      <c r="N37" s="12" t="n">
        <v>3</v>
      </c>
    </row>
    <row r="38">
      <c r="A38" s="12" t="n">
        <v>37</v>
      </c>
      <c r="B38" s="12" t="inlineStr">
        <is>
          <t>module.budget.aws_budgets_budget.monthly</t>
        </is>
      </c>
      <c r="C38" s="12" t="inlineStr">
        <is>
          <t>AWS Budget</t>
        </is>
      </c>
      <c r="D38" s="12" t="inlineStr">
        <is>
          <t>weekend2-prod-monthly</t>
        </is>
      </c>
      <c r="E38" s="12" t="inlineStr">
        <is>
          <t>budget</t>
        </is>
      </c>
      <c r="F38" s="12" t="inlineStr">
        <is>
          <t>global</t>
        </is>
      </c>
      <c r="G38" s="12" t="inlineStr">
        <is>
          <t>Cost alerts</t>
        </is>
      </c>
      <c r="H38" s="12" t="inlineStr">
        <is>
          <t>USD 52; alerts 50/80/100% + forecast</t>
        </is>
      </c>
      <c r="I38" s="26" t="n">
        <v>0</v>
      </c>
      <c r="J38" s="27">
        <f>I38*Cost!$B$15</f>
        <v/>
      </c>
      <c r="K38" s="12" t="inlineStr">
        <is>
          <t>First 2 budgets free</t>
        </is>
      </c>
      <c r="L38" s="13" t="inlineStr">
        <is>
          <t>Not verified</t>
        </is>
      </c>
      <c r="M38" s="13" t="inlineStr">
        <is>
          <t>Drafted (not applied)</t>
        </is>
      </c>
      <c r="N38" s="12" t="n">
        <v>1</v>
      </c>
    </row>
    <row r="39">
      <c r="A39" s="12" t="n">
        <v>38</v>
      </c>
      <c r="B39" s="12" t="inlineStr">
        <is>
          <t>bootstrap: aws_s3_bucket.tfstate</t>
        </is>
      </c>
      <c r="C39" s="12" t="inlineStr">
        <is>
          <t>S3 bucket</t>
        </is>
      </c>
      <c r="D39" s="12" t="inlineStr">
        <is>
          <t>weekend2-tfstate-&lt;account-id&gt;</t>
        </is>
      </c>
      <c r="E39" s="12" t="inlineStr">
        <is>
          <t>bootstrap</t>
        </is>
      </c>
      <c r="F39" s="12" t="inlineStr">
        <is>
          <t>ap-south-1</t>
        </is>
      </c>
      <c r="G39" s="12" t="inlineStr">
        <is>
          <t>Terraform state + native lock</t>
        </is>
      </c>
      <c r="H39" s="12" t="inlineStr">
        <is>
          <t>Versioning; SSE-KMS; TLS-only; prevent_destroy</t>
        </is>
      </c>
      <c r="I39" s="26" t="n">
        <v>0.01</v>
      </c>
      <c r="J39" s="27">
        <f>I39*Cost!$B$15</f>
        <v/>
      </c>
      <c r="K39" s="12" t="inlineStr">
        <is>
          <t>KB-sized state</t>
        </is>
      </c>
      <c r="L39" s="13" t="inlineStr">
        <is>
          <t>Estimate</t>
        </is>
      </c>
      <c r="M39" s="13" t="inlineStr">
        <is>
          <t>Drafted (not applied)</t>
        </is>
      </c>
      <c r="N39" s="12" t="n">
        <v>0</v>
      </c>
    </row>
    <row r="40">
      <c r="A40" s="12" t="n">
        <v>39</v>
      </c>
      <c r="B40" s="12" t="inlineStr">
        <is>
          <t>(no resource — IAM only)</t>
        </is>
      </c>
      <c r="C40" s="12" t="inlineStr">
        <is>
          <t>Amazon Bedrock usage</t>
        </is>
      </c>
      <c r="D40" s="12" t="inlineStr">
        <is>
          <t>Claude Haiku 4.5 / Sonnet 5 via in.* profiles</t>
        </is>
      </c>
      <c r="E40" s="12" t="inlineStr">
        <is>
          <t>app</t>
        </is>
      </c>
      <c r="F40" s="12" t="inlineStr">
        <is>
          <t>ap-south-1/2</t>
        </is>
      </c>
      <c r="G40" s="12" t="inlineStr">
        <is>
          <t>LLM inference</t>
        </is>
      </c>
      <c r="H40" s="12" t="inlineStr">
        <is>
          <t>India geo; +10% regional premium</t>
        </is>
      </c>
      <c r="I40" s="26" t="n">
        <v>15.9</v>
      </c>
      <c r="J40" s="27">
        <f>I40*Cost!$B$15</f>
        <v/>
      </c>
      <c r="K40" s="12" t="inlineStr">
        <is>
          <t>DESIGN.md §21.1 (expected 3,000 turns)</t>
        </is>
      </c>
      <c r="L40" s="13" t="inlineStr">
        <is>
          <t>Calculated (I-2 open)</t>
        </is>
      </c>
      <c r="M40" s="13" t="inlineStr">
        <is>
          <t>Drafted (not applied)</t>
        </is>
      </c>
      <c r="N40" s="12" t="n">
        <v>1</v>
      </c>
    </row>
    <row r="42">
      <c r="H42" s="3" t="inlineStr">
        <is>
          <t>Total per month (expected use)</t>
        </is>
      </c>
      <c r="I42" s="33">
        <f>SUM(I2:I40)</f>
        <v/>
      </c>
      <c r="J42" s="34">
        <f>SUM(J2:J40)</f>
        <v/>
      </c>
    </row>
    <row r="43">
      <c r="H43" s="3" t="inlineStr">
        <is>
          <t>Budget (₹)</t>
        </is>
      </c>
      <c r="I43" s="3" t="n"/>
      <c r="J43" s="34">
        <f>Cost!B16</f>
        <v/>
      </c>
    </row>
    <row r="44">
      <c r="H44" s="3" t="inlineStr">
        <is>
          <t>Headroom (₹)</t>
        </is>
      </c>
      <c r="I44" s="3" t="n"/>
      <c r="J44" s="34">
        <f>J43-J42</f>
        <v/>
      </c>
    </row>
    <row r="45">
      <c r="H45" s="3" t="inlineStr">
        <is>
          <t>Fits budget?</t>
        </is>
      </c>
      <c r="I45" s="3" t="n"/>
      <c r="J45" s="3">
        <f>IF(J42&lt;=J43,"Yes","No")</f>
        <v/>
      </c>
    </row>
    <row r="47">
      <c r="A47" s="23" t="inlineStr">
        <is>
          <t>Design: D1 option E2 (revised) — PROVISIONAL until D1 is decided. Source: infra/ (Terraform 1.16.5 / AWS provider 6.67.0, validated 2026-10-02). INR uses Cost!B15. Aurora hours are the main uncertainty.</t>
        </is>
      </c>
    </row>
  </sheetData>
  <autoFilter ref="A1:N40"/>
  <conditionalFormatting sqref="J45">
    <cfRule type="cellIs" priority="1" operator="equal" dxfId="0">
      <formula>"Yes"</formula>
    </cfRule>
    <cfRule type="cellIs" priority="2" operator="equal" dxfId="2">
      <formula>"No"</formula>
    </cfRule>
  </conditionalFormatting>
  <conditionalFormatting sqref="M2:M200">
    <cfRule type="cellIs" priority="3" operator="equal" dxfId="0">
      <formula>"Applied"</formula>
    </cfRule>
    <cfRule type="cellIs" priority="4" operator="equal" dxfId="1">
      <formula>"Drafted (not applied)"</formula>
    </cfRule>
    <cfRule type="cellIs" priority="5" operator="equal" dxfId="3">
      <formula>"Destroyed"</formula>
    </cfRule>
  </conditionalFormatting>
  <conditionalFormatting sqref="L2:L200">
    <cfRule type="cellIs" priority="6" operator="equal" dxfId="1">
      <formula>"Not verified"</formula>
    </cfRule>
    <cfRule type="cellIs" priority="7" operator="equal" dxfId="0">
      <formula>"Verified"</formula>
    </cfRule>
  </conditionalFormatting>
  <dataValidations count="1">
    <dataValidation sqref="M2:M200" showDropDown="0" showInputMessage="0" showErrorMessage="0" allowBlank="1" type="list">
      <formula1>"Drafted (not applied),Planned,Applied,Destroyed"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8" customWidth="1" min="3" max="3"/>
    <col width="7" customWidth="1" min="4" max="4"/>
    <col width="22" customWidth="1" min="5" max="5"/>
    <col width="30" customWidth="1" min="6" max="6"/>
    <col width="20" customWidth="1" min="7" max="7"/>
    <col width="22" customWidth="1" min="8" max="8"/>
    <col width="11" customWidth="1" min="9" max="9"/>
    <col width="10" customWidth="1" min="10" max="10"/>
    <col width="12" customWidth="1" min="11" max="11"/>
    <col width="34" customWidth="1" min="12" max="12"/>
  </cols>
  <sheetData>
    <row r="1">
      <c r="A1" s="11" t="inlineStr">
        <is>
          <t>ID</t>
        </is>
      </c>
      <c r="B1" s="11" t="inlineStr">
        <is>
          <t>Script</t>
        </is>
      </c>
      <c r="C1" s="11" t="inlineStr">
        <is>
          <t>Purpose</t>
        </is>
      </c>
      <c r="D1" s="11" t="inlineStr">
        <is>
          <t>Phase</t>
        </is>
      </c>
      <c r="E1" s="11" t="inlineStr">
        <is>
          <t>Trigger</t>
        </is>
      </c>
      <c r="F1" s="11" t="inlineStr">
        <is>
          <t>AWS services / permissions</t>
        </is>
      </c>
      <c r="G1" s="11" t="inlineStr">
        <is>
          <t>Inputs</t>
        </is>
      </c>
      <c r="H1" s="11" t="inlineStr">
        <is>
          <t>Outputs</t>
        </is>
      </c>
      <c r="I1" s="11" t="inlineStr">
        <is>
          <t>Serves (P#)</t>
        </is>
      </c>
      <c r="J1" s="11" t="inlineStr">
        <is>
          <t>Priority</t>
        </is>
      </c>
      <c r="K1" s="11" t="inlineStr">
        <is>
          <t>Status</t>
        </is>
      </c>
      <c r="L1" s="11" t="inlineStr">
        <is>
          <t>Path</t>
        </is>
      </c>
    </row>
    <row r="2">
      <c r="A2" s="12" t="inlineStr">
        <is>
          <t>PY-01</t>
        </is>
      </c>
      <c r="B2" s="12" t="inlineStr">
        <is>
          <t>build_lambda_package.py</t>
        </is>
      </c>
      <c r="C2" s="12" t="inlineStr">
        <is>
          <t>Build a reproducible arm64 Lambda zip (pip --platform manylinux2014_aarch64) and its SHA-256</t>
        </is>
      </c>
      <c r="D2" s="12" t="inlineStr">
        <is>
          <t>1</t>
        </is>
      </c>
      <c r="E2" s="12" t="inlineStr">
        <is>
          <t>Manual / CI</t>
        </is>
      </c>
      <c r="F2" s="12" t="inlineStr">
        <is>
          <t>None</t>
        </is>
      </c>
      <c r="G2" s="12" t="inlineStr">
        <is>
          <t>src/, requirements.txt</t>
        </is>
      </c>
      <c r="H2" s="12" t="inlineStr">
        <is>
          <t>dist/app.zip + sha256</t>
        </is>
      </c>
      <c r="I2" s="12" t="inlineStr">
        <is>
          <t>—</t>
        </is>
      </c>
      <c r="J2" s="13" t="inlineStr">
        <is>
          <t>High</t>
        </is>
      </c>
      <c r="K2" s="13" t="inlineStr">
        <is>
          <t>Planned</t>
        </is>
      </c>
      <c r="L2" s="12" t="inlineStr">
        <is>
          <t>scripts/build_lambda_package.py</t>
        </is>
      </c>
    </row>
    <row r="3">
      <c r="A3" s="12" t="inlineStr">
        <is>
          <t>PY-02</t>
        </is>
      </c>
      <c r="B3" s="12" t="inlineStr">
        <is>
          <t>db_migrate.py</t>
        </is>
      </c>
      <c r="C3" s="12" t="inlineStr">
        <is>
          <t>Apply SQL migrations via RDS Data API; CREATE EXTENSION vector; create least-privilege app user + its secret</t>
        </is>
      </c>
      <c r="D3" s="12" t="inlineStr">
        <is>
          <t>1</t>
        </is>
      </c>
      <c r="E3" s="12" t="inlineStr">
        <is>
          <t>Manual / CI after deploy</t>
        </is>
      </c>
      <c r="F3" s="12" t="inlineStr">
        <is>
          <t>rds-data, secretsmanager</t>
        </is>
      </c>
      <c r="G3" s="12" t="inlineStr">
        <is>
          <t>migrations/*.sql</t>
        </is>
      </c>
      <c r="H3" s="12" t="inlineStr">
        <is>
          <t>schema_version table</t>
        </is>
      </c>
      <c r="I3" s="12" t="inlineStr">
        <is>
          <t>P4</t>
        </is>
      </c>
      <c r="J3" s="13" t="inlineStr">
        <is>
          <t>High</t>
        </is>
      </c>
      <c r="K3" s="13" t="inlineStr">
        <is>
          <t>Planned</t>
        </is>
      </c>
      <c r="L3" s="12" t="inlineStr">
        <is>
          <t>scripts/db_migrate.py</t>
        </is>
      </c>
    </row>
    <row r="4">
      <c r="A4" s="12" t="inlineStr">
        <is>
          <t>PY-03</t>
        </is>
      </c>
      <c r="B4" s="12" t="inlineStr">
        <is>
          <t>set_secret.py</t>
        </is>
      </c>
      <c r="C4" s="12" t="inlineStr">
        <is>
          <t>Store a secret value from a hidden prompt or file (never a CLI arg); verify KMS key; never echo</t>
        </is>
      </c>
      <c r="D4" s="12" t="inlineStr">
        <is>
          <t>1</t>
        </is>
      </c>
      <c r="E4" s="12" t="inlineStr">
        <is>
          <t>Manual</t>
        </is>
      </c>
      <c r="F4" s="12" t="inlineStr">
        <is>
          <t>secretsmanager, kms</t>
        </is>
      </c>
      <c r="G4" s="12" t="inlineStr">
        <is>
          <t>secret name</t>
        </is>
      </c>
      <c r="H4" s="12" t="inlineStr">
        <is>
          <t>secret version id</t>
        </is>
      </c>
      <c r="I4" s="12" t="inlineStr">
        <is>
          <t>P4</t>
        </is>
      </c>
      <c r="J4" s="13" t="inlineStr">
        <is>
          <t>High</t>
        </is>
      </c>
      <c r="K4" s="13" t="inlineStr">
        <is>
          <t>Planned</t>
        </is>
      </c>
      <c r="L4" s="12" t="inlineStr">
        <is>
          <t>scripts/set_secret.py</t>
        </is>
      </c>
    </row>
    <row r="5">
      <c r="A5" s="12" t="inlineStr">
        <is>
          <t>PY-04</t>
        </is>
      </c>
      <c r="B5" s="12" t="inlineStr">
        <is>
          <t>bedrock_smoke_test.py</t>
        </is>
      </c>
      <c r="C5" s="12" t="inlineStr">
        <is>
          <t>Confirm India-profile model access, latency and token cost for a test prompt</t>
        </is>
      </c>
      <c r="D5" s="12" t="inlineStr">
        <is>
          <t>1</t>
        </is>
      </c>
      <c r="E5" s="12" t="inlineStr">
        <is>
          <t>Manual</t>
        </is>
      </c>
      <c r="F5" s="12" t="inlineStr">
        <is>
          <t>bedrock:InvokeModel</t>
        </is>
      </c>
      <c r="G5" s="12" t="inlineStr">
        <is>
          <t>model ids</t>
        </is>
      </c>
      <c r="H5" s="12" t="inlineStr">
        <is>
          <t>latency / cost report</t>
        </is>
      </c>
      <c r="I5" s="12" t="inlineStr">
        <is>
          <t>P7</t>
        </is>
      </c>
      <c r="J5" s="13" t="inlineStr">
        <is>
          <t>High</t>
        </is>
      </c>
      <c r="K5" s="13" t="inlineStr">
        <is>
          <t>Planned</t>
        </is>
      </c>
      <c r="L5" s="12" t="inlineStr">
        <is>
          <t>scripts/bedrock_smoke_test.py</t>
        </is>
      </c>
    </row>
    <row r="6">
      <c r="A6" s="12" t="inlineStr">
        <is>
          <t>PY-05</t>
        </is>
      </c>
      <c r="B6" s="12" t="inlineStr">
        <is>
          <t>aurora_wake_check.py</t>
        </is>
      </c>
      <c r="C6" s="12" t="inlineStr">
        <is>
          <t>Measure Aurora resume time after auto-pause; tune retry/backoff</t>
        </is>
      </c>
      <c r="D6" s="12" t="inlineStr">
        <is>
          <t>1</t>
        </is>
      </c>
      <c r="E6" s="12" t="inlineStr">
        <is>
          <t>Manual</t>
        </is>
      </c>
      <c r="F6" s="12" t="inlineStr">
        <is>
          <t>rds-data</t>
        </is>
      </c>
      <c r="G6" s="12" t="inlineStr">
        <is>
          <t>cluster ARN</t>
        </is>
      </c>
      <c r="H6" s="12" t="inlineStr">
        <is>
          <t>resume seconds</t>
        </is>
      </c>
      <c r="I6" s="12" t="inlineStr">
        <is>
          <t>—</t>
        </is>
      </c>
      <c r="J6" s="13" t="inlineStr">
        <is>
          <t>Medium</t>
        </is>
      </c>
      <c r="K6" s="13" t="inlineStr">
        <is>
          <t>Planned</t>
        </is>
      </c>
      <c r="L6" s="12" t="inlineStr">
        <is>
          <t>scripts/aurora_wake_check.py</t>
        </is>
      </c>
    </row>
    <row r="7">
      <c r="A7" s="12" t="inlineStr">
        <is>
          <t>PY-06</t>
        </is>
      </c>
      <c r="B7" s="12" t="inlineStr">
        <is>
          <t>secret_scan.py</t>
        </is>
      </c>
      <c r="C7" s="12" t="inlineStr">
        <is>
          <t>Pre-commit/CI guard for the public repo: gitleaks + regex for account IDs, IPs, keys</t>
        </is>
      </c>
      <c r="D7" s="12" t="inlineStr">
        <is>
          <t>1</t>
        </is>
      </c>
      <c r="E7" s="12" t="inlineStr">
        <is>
          <t>pre-commit / CI</t>
        </is>
      </c>
      <c r="F7" s="12" t="inlineStr">
        <is>
          <t>None</t>
        </is>
      </c>
      <c r="G7" s="12" t="inlineStr">
        <is>
          <t>staged files</t>
        </is>
      </c>
      <c r="H7" s="12" t="inlineStr">
        <is>
          <t>pass / fail</t>
        </is>
      </c>
      <c r="I7" s="12" t="inlineStr">
        <is>
          <t>P4</t>
        </is>
      </c>
      <c r="J7" s="13" t="inlineStr">
        <is>
          <t>High</t>
        </is>
      </c>
      <c r="K7" s="13" t="inlineStr">
        <is>
          <t>Planned</t>
        </is>
      </c>
      <c r="L7" s="12" t="inlineStr">
        <is>
          <t>scripts/secret_scan.py</t>
        </is>
      </c>
    </row>
    <row r="8">
      <c r="A8" s="12" t="inlineStr">
        <is>
          <t>PY-07</t>
        </is>
      </c>
      <c r="B8" s="12" t="inlineStr">
        <is>
          <t>bootstrap_owner.py</t>
        </is>
      </c>
      <c r="C8" s="12" t="inlineStr">
        <is>
          <t>Create the single owner row + one-time passkey registration code (shown once over SSM)</t>
        </is>
      </c>
      <c r="D8" s="12" t="inlineStr">
        <is>
          <t>2</t>
        </is>
      </c>
      <c r="E8" s="12" t="inlineStr">
        <is>
          <t>Manual, once</t>
        </is>
      </c>
      <c r="F8" s="12" t="inlineStr">
        <is>
          <t>rds-data, secretsmanager</t>
        </is>
      </c>
      <c r="G8" s="12" t="inlineStr">
        <is>
          <t>—</t>
        </is>
      </c>
      <c r="H8" s="12" t="inlineStr">
        <is>
          <t>registration code</t>
        </is>
      </c>
      <c r="I8" s="12" t="inlineStr">
        <is>
          <t>P1</t>
        </is>
      </c>
      <c r="J8" s="13" t="inlineStr">
        <is>
          <t>High</t>
        </is>
      </c>
      <c r="K8" s="13" t="inlineStr">
        <is>
          <t>Planned</t>
        </is>
      </c>
      <c r="L8" s="12" t="inlineStr">
        <is>
          <t>scripts/bootstrap_owner.py</t>
        </is>
      </c>
    </row>
    <row r="9">
      <c r="A9" s="12" t="inlineStr">
        <is>
          <t>PY-08</t>
        </is>
      </c>
      <c r="B9" s="12" t="inlineStr">
        <is>
          <t>reminder_scheduler.py (app module)</t>
        </is>
      </c>
      <c r="C9" s="12" t="inlineStr">
        <is>
          <t>Create/delete one-time EventBridge schedules for reminders (no polling)</t>
        </is>
      </c>
      <c r="D9" s="12" t="inlineStr">
        <is>
          <t>2</t>
        </is>
      </c>
      <c r="E9" s="12" t="inlineStr">
        <is>
          <t>Called by API</t>
        </is>
      </c>
      <c r="F9" s="12" t="inlineStr">
        <is>
          <t>scheduler, iam:PassRole</t>
        </is>
      </c>
      <c r="G9" s="12" t="inlineStr">
        <is>
          <t>reminder</t>
        </is>
      </c>
      <c r="H9" s="12" t="inlineStr">
        <is>
          <t>schedule ARN</t>
        </is>
      </c>
      <c r="I9" s="12" t="inlineStr">
        <is>
          <t>P5</t>
        </is>
      </c>
      <c r="J9" s="13" t="inlineStr">
        <is>
          <t>High</t>
        </is>
      </c>
      <c r="K9" s="13" t="inlineStr">
        <is>
          <t>Planned</t>
        </is>
      </c>
      <c r="L9" s="12" t="inlineStr">
        <is>
          <t>src/weekend/reminders.py</t>
        </is>
      </c>
    </row>
    <row r="10">
      <c r="A10" s="12" t="inlineStr">
        <is>
          <t>PY-09</t>
        </is>
      </c>
      <c r="B10" s="12" t="inlineStr">
        <is>
          <t>tailscale_authkey_rotate.py</t>
        </is>
      </c>
      <c r="C10" s="12" t="inlineStr">
        <is>
          <t>Create a new tagged Tailscale auth key via API and store it in Secrets Manager before expiry</t>
        </is>
      </c>
      <c r="D10" s="12" t="inlineStr">
        <is>
          <t>2</t>
        </is>
      </c>
      <c r="E10" s="12" t="inlineStr">
        <is>
          <t>Monthly</t>
        </is>
      </c>
      <c r="F10" s="12" t="inlineStr">
        <is>
          <t>Tailscale API, secretsmanager</t>
        </is>
      </c>
      <c r="G10" s="12" t="inlineStr">
        <is>
          <t>—</t>
        </is>
      </c>
      <c r="H10" s="12" t="inlineStr">
        <is>
          <t>new secret version</t>
        </is>
      </c>
      <c r="I10" s="12" t="inlineStr">
        <is>
          <t>P4</t>
        </is>
      </c>
      <c r="J10" s="13" t="inlineStr">
        <is>
          <t>Medium</t>
        </is>
      </c>
      <c r="K10" s="13" t="inlineStr">
        <is>
          <t>Planned</t>
        </is>
      </c>
      <c r="L10" s="12" t="inlineStr">
        <is>
          <t>scripts/tailscale_authkey_rotate.py</t>
        </is>
      </c>
    </row>
    <row r="11">
      <c r="A11" s="12" t="inlineStr">
        <is>
          <t>PY-10</t>
        </is>
      </c>
      <c r="B11" s="12" t="inlineStr">
        <is>
          <t>voice_benchmark.py</t>
        </is>
      </c>
      <c r="C11" s="12" t="inlineStr">
        <is>
          <t>Benchmark STT/TTS options (on-device, Transcribe, Polly, local) for latency and ₹/minute</t>
        </is>
      </c>
      <c r="D11" s="12" t="inlineStr">
        <is>
          <t>2</t>
        </is>
      </c>
      <c r="E11" s="12" t="inlineStr">
        <is>
          <t>Manual</t>
        </is>
      </c>
      <c r="F11" s="12" t="inlineStr">
        <is>
          <t>transcribe, polly</t>
        </is>
      </c>
      <c r="G11" s="12" t="inlineStr">
        <is>
          <t>sample audio</t>
        </is>
      </c>
      <c r="H11" s="12" t="inlineStr">
        <is>
          <t>benchmark table</t>
        </is>
      </c>
      <c r="I11" s="12" t="inlineStr">
        <is>
          <t>P7</t>
        </is>
      </c>
      <c r="J11" s="13" t="inlineStr">
        <is>
          <t>Medium</t>
        </is>
      </c>
      <c r="K11" s="13" t="inlineStr">
        <is>
          <t>Planned</t>
        </is>
      </c>
      <c r="L11" s="12" t="inlineStr">
        <is>
          <t>scripts/voice_benchmark.py</t>
        </is>
      </c>
    </row>
    <row r="12">
      <c r="A12" s="12" t="inlineStr">
        <is>
          <t>PY-11</t>
        </is>
      </c>
      <c r="B12" s="12" t="inlineStr">
        <is>
          <t>data_export.py</t>
        </is>
      </c>
      <c r="C12" s="12" t="inlineStr">
        <is>
          <t>Export all owner data to an encrypted archive in S3</t>
        </is>
      </c>
      <c r="D12" s="12" t="inlineStr">
        <is>
          <t>3</t>
        </is>
      </c>
      <c r="E12" s="12" t="inlineStr">
        <is>
          <t>Worker 03:30 IST + on demand</t>
        </is>
      </c>
      <c r="F12" s="12" t="inlineStr">
        <is>
          <t>rds-data, s3, kms</t>
        </is>
      </c>
      <c r="G12" s="12" t="inlineStr">
        <is>
          <t>—</t>
        </is>
      </c>
      <c r="H12" s="12" t="inlineStr">
        <is>
          <t>s3://…/daily/</t>
        </is>
      </c>
      <c r="I12" s="12" t="inlineStr">
        <is>
          <t>P6, P10</t>
        </is>
      </c>
      <c r="J12" s="13" t="inlineStr">
        <is>
          <t>High</t>
        </is>
      </c>
      <c r="K12" s="13" t="inlineStr">
        <is>
          <t>Planned</t>
        </is>
      </c>
      <c r="L12" s="12" t="inlineStr">
        <is>
          <t>scripts/data_export.py</t>
        </is>
      </c>
    </row>
    <row r="13">
      <c r="A13" s="12" t="inlineStr">
        <is>
          <t>PY-12</t>
        </is>
      </c>
      <c r="B13" s="12" t="inlineStr">
        <is>
          <t>retention_cleanup.py</t>
        </is>
      </c>
      <c r="C13" s="12" t="inlineStr">
        <is>
          <t>Delete data past its retention per table; write audit entries</t>
        </is>
      </c>
      <c r="D13" s="12" t="inlineStr">
        <is>
          <t>3</t>
        </is>
      </c>
      <c r="E13" s="12" t="inlineStr">
        <is>
          <t>Worker 03:00 IST</t>
        </is>
      </c>
      <c r="F13" s="12" t="inlineStr">
        <is>
          <t>rds-data</t>
        </is>
      </c>
      <c r="G13" s="12" t="inlineStr">
        <is>
          <t>retention table</t>
        </is>
      </c>
      <c r="H13" s="12" t="inlineStr">
        <is>
          <t>deleted counts</t>
        </is>
      </c>
      <c r="I13" s="12" t="inlineStr">
        <is>
          <t>P5, P8</t>
        </is>
      </c>
      <c r="J13" s="13" t="inlineStr">
        <is>
          <t>High</t>
        </is>
      </c>
      <c r="K13" s="13" t="inlineStr">
        <is>
          <t>Planned</t>
        </is>
      </c>
      <c r="L13" s="12" t="inlineStr">
        <is>
          <t>scripts/retention_cleanup.py</t>
        </is>
      </c>
    </row>
    <row r="14">
      <c r="A14" s="12" t="inlineStr">
        <is>
          <t>PY-13</t>
        </is>
      </c>
      <c r="B14" s="12" t="inlineStr">
        <is>
          <t>delete_all_data.py</t>
        </is>
      </c>
      <c r="C14" s="12" t="inlineStr">
        <is>
          <t>'Forget everything': purge DB rows + S3 objects (respecting Object Lock) with double confirmation</t>
        </is>
      </c>
      <c r="D14" s="12" t="inlineStr">
        <is>
          <t>3</t>
        </is>
      </c>
      <c r="E14" s="12" t="inlineStr">
        <is>
          <t>Manual</t>
        </is>
      </c>
      <c r="F14" s="12" t="inlineStr">
        <is>
          <t>rds-data, s3</t>
        </is>
      </c>
      <c r="G14" s="12" t="inlineStr">
        <is>
          <t>confirmation phrase</t>
        </is>
      </c>
      <c r="H14" s="12" t="inlineStr">
        <is>
          <t>purge report</t>
        </is>
      </c>
      <c r="I14" s="12" t="inlineStr">
        <is>
          <t>P6</t>
        </is>
      </c>
      <c r="J14" s="13" t="inlineStr">
        <is>
          <t>Medium</t>
        </is>
      </c>
      <c r="K14" s="13" t="inlineStr">
        <is>
          <t>Planned</t>
        </is>
      </c>
      <c r="L14" s="12" t="inlineStr">
        <is>
          <t>scripts/delete_all_data.py</t>
        </is>
      </c>
    </row>
    <row r="15">
      <c r="A15" s="12" t="inlineStr">
        <is>
          <t>PY-14</t>
        </is>
      </c>
      <c r="B15" s="12" t="inlineStr">
        <is>
          <t>audit_verify.py</t>
        </is>
      </c>
      <c r="C15" s="12" t="inlineStr">
        <is>
          <t>Verify the audit_log hash chain against S3 Object Lock copies</t>
        </is>
      </c>
      <c r="D15" s="12" t="inlineStr">
        <is>
          <t>4</t>
        </is>
      </c>
      <c r="E15" s="12" t="inlineStr">
        <is>
          <t>Weekly / manual</t>
        </is>
      </c>
      <c r="F15" s="12" t="inlineStr">
        <is>
          <t>rds-data, s3</t>
        </is>
      </c>
      <c r="G15" s="12" t="inlineStr">
        <is>
          <t>—</t>
        </is>
      </c>
      <c r="H15" s="12" t="inlineStr">
        <is>
          <t>pass / fail</t>
        </is>
      </c>
      <c r="I15" s="12" t="inlineStr">
        <is>
          <t>P8</t>
        </is>
      </c>
      <c r="J15" s="13" t="inlineStr">
        <is>
          <t>Medium</t>
        </is>
      </c>
      <c r="K15" s="13" t="inlineStr">
        <is>
          <t>Planned</t>
        </is>
      </c>
      <c r="L15" s="12" t="inlineStr">
        <is>
          <t>scripts/audit_verify.py</t>
        </is>
      </c>
    </row>
    <row r="16">
      <c r="A16" s="12" t="inlineStr">
        <is>
          <t>PY-15</t>
        </is>
      </c>
      <c r="B16" s="12" t="inlineStr">
        <is>
          <t>tailnet_check.py</t>
        </is>
      </c>
      <c r="C16" s="12" t="inlineStr">
        <is>
          <t>Check Tailscale devices/ACLs: only owner devices + tag:weekend; alert on a new device</t>
        </is>
      </c>
      <c r="D16" s="12" t="inlineStr">
        <is>
          <t>4</t>
        </is>
      </c>
      <c r="E16" s="12" t="inlineStr">
        <is>
          <t>Daily</t>
        </is>
      </c>
      <c r="F16" s="12" t="inlineStr">
        <is>
          <t>Tailscale API</t>
        </is>
      </c>
      <c r="G16" s="12" t="inlineStr">
        <is>
          <t>—</t>
        </is>
      </c>
      <c r="H16" s="12" t="inlineStr">
        <is>
          <t>report</t>
        </is>
      </c>
      <c r="I16" s="12" t="inlineStr">
        <is>
          <t>P1, P9</t>
        </is>
      </c>
      <c r="J16" s="13" t="inlineStr">
        <is>
          <t>Medium</t>
        </is>
      </c>
      <c r="K16" s="13" t="inlineStr">
        <is>
          <t>Planned</t>
        </is>
      </c>
      <c r="L16" s="12" t="inlineStr">
        <is>
          <t>scripts/tailnet_check.py</t>
        </is>
      </c>
    </row>
    <row r="17">
      <c r="A17" s="12" t="inlineStr">
        <is>
          <t>PY-16</t>
        </is>
      </c>
      <c r="B17" s="12" t="inlineStr">
        <is>
          <t>restore_drill.py</t>
        </is>
      </c>
      <c r="C17" s="12" t="inlineStr">
        <is>
          <t>Restore latest snapshot to a temporary cluster, run integrity checks, record result, delete the temp cluster</t>
        </is>
      </c>
      <c r="D17" s="12" t="inlineStr">
        <is>
          <t>6</t>
        </is>
      </c>
      <c r="E17" s="12" t="inlineStr">
        <is>
          <t>Quarterly</t>
        </is>
      </c>
      <c r="F17" s="12" t="inlineStr">
        <is>
          <t>rds, rds-data</t>
        </is>
      </c>
      <c r="G17" s="12" t="inlineStr">
        <is>
          <t>snapshot id</t>
        </is>
      </c>
      <c r="H17" s="12" t="inlineStr">
        <is>
          <t>drill record</t>
        </is>
      </c>
      <c r="I17" s="12" t="inlineStr">
        <is>
          <t>P10</t>
        </is>
      </c>
      <c r="J17" s="13" t="inlineStr">
        <is>
          <t>High</t>
        </is>
      </c>
      <c r="K17" s="13" t="inlineStr">
        <is>
          <t>Planned</t>
        </is>
      </c>
      <c r="L17" s="12" t="inlineStr">
        <is>
          <t>scripts/restore_drill.py</t>
        </is>
      </c>
    </row>
    <row r="18">
      <c r="A18" s="12" t="inlineStr">
        <is>
          <t>PY-17</t>
        </is>
      </c>
      <c r="B18" s="12" t="inlineStr">
        <is>
          <t>healthcheck.py</t>
        </is>
      </c>
      <c r="C18" s="12" t="inlineStr">
        <is>
          <t>Synthetic check via the tailnet: login page, API health, Bedrock call (runs daily, not per-minute, so Aurora can pause)</t>
        </is>
      </c>
      <c r="D18" s="12" t="inlineStr">
        <is>
          <t>6</t>
        </is>
      </c>
      <c r="E18" s="12" t="inlineStr">
        <is>
          <t>Daily 09:00 IST / manual</t>
        </is>
      </c>
      <c r="F18" s="12" t="inlineStr">
        <is>
          <t>None (tailnet)</t>
        </is>
      </c>
      <c r="G18" s="12" t="inlineStr">
        <is>
          <t>—</t>
        </is>
      </c>
      <c r="H18" s="12" t="inlineStr">
        <is>
          <t>status report</t>
        </is>
      </c>
      <c r="I18" s="12" t="inlineStr">
        <is>
          <t>P9</t>
        </is>
      </c>
      <c r="J18" s="13" t="inlineStr">
        <is>
          <t>Medium</t>
        </is>
      </c>
      <c r="K18" s="13" t="inlineStr">
        <is>
          <t>Planned</t>
        </is>
      </c>
      <c r="L18" s="12" t="inlineStr">
        <is>
          <t>scripts/healthcheck.py</t>
        </is>
      </c>
    </row>
    <row r="19">
      <c r="A19" s="12" t="inlineStr">
        <is>
          <t>PY-18</t>
        </is>
      </c>
      <c r="B19" s="12" t="inlineStr">
        <is>
          <t>cost_report.py</t>
        </is>
      </c>
      <c r="C19" s="12" t="inlineStr">
        <is>
          <t>Month-to-date + forecast cost vs ₹5,000 using live FX; append to tracker</t>
        </is>
      </c>
      <c r="D19" s="12" t="inlineStr">
        <is>
          <t>6</t>
        </is>
      </c>
      <c r="E19" s="12" t="inlineStr">
        <is>
          <t>Daily / manual</t>
        </is>
      </c>
      <c r="F19" s="12" t="inlineStr">
        <is>
          <t>ce:GetCostAndUsage, ce:GetCostForecast</t>
        </is>
      </c>
      <c r="G19" s="12" t="inlineStr">
        <is>
          <t>—</t>
        </is>
      </c>
      <c r="H19" s="12" t="inlineStr">
        <is>
          <t>INR report</t>
        </is>
      </c>
      <c r="I19" s="12" t="inlineStr">
        <is>
          <t>—</t>
        </is>
      </c>
      <c r="J19" s="13" t="inlineStr">
        <is>
          <t>Medium</t>
        </is>
      </c>
      <c r="K19" s="13" t="inlineStr">
        <is>
          <t>Planned</t>
        </is>
      </c>
      <c r="L19" s="12" t="inlineStr">
        <is>
          <t>scripts/cost_report.py</t>
        </is>
      </c>
    </row>
    <row r="20">
      <c r="A20" s="12" t="inlineStr">
        <is>
          <t>PY-19</t>
        </is>
      </c>
      <c r="B20" s="12" t="inlineStr">
        <is>
          <t>price_check.py</t>
        </is>
      </c>
      <c r="C20" s="12" t="inlineStr">
        <is>
          <t>Pull AWS Price List (ap-south-1) for every tracked resource; flag changes; update Resources sheet</t>
        </is>
      </c>
      <c r="D20" s="12" t="inlineStr">
        <is>
          <t>0</t>
        </is>
      </c>
      <c r="E20" s="12" t="inlineStr">
        <is>
          <t>Monthly</t>
        </is>
      </c>
      <c r="F20" s="12" t="inlineStr">
        <is>
          <t>None (public price list)</t>
        </is>
      </c>
      <c r="G20" s="12" t="inlineStr">
        <is>
          <t>Resources sheet</t>
        </is>
      </c>
      <c r="H20" s="12" t="inlineStr">
        <is>
          <t>updated prices</t>
        </is>
      </c>
      <c r="I20" s="12" t="inlineStr">
        <is>
          <t>—</t>
        </is>
      </c>
      <c r="J20" s="13" t="inlineStr">
        <is>
          <t>Medium</t>
        </is>
      </c>
      <c r="K20" s="13" t="inlineStr">
        <is>
          <t>Planned</t>
        </is>
      </c>
      <c r="L20" s="12" t="inlineStr">
        <is>
          <t>scripts/price_check.py</t>
        </is>
      </c>
    </row>
    <row r="21">
      <c r="A21" s="12" t="inlineStr">
        <is>
          <t>PY-20</t>
        </is>
      </c>
      <c r="B21" s="12" t="inlineStr">
        <is>
          <t>fx_rate_update.py</t>
        </is>
      </c>
      <c r="C21" s="12" t="inlineStr">
        <is>
          <t>Fetch USD/INR from 3 sources, take the median, update Cost!B15 with date and sources</t>
        </is>
      </c>
      <c r="D21" s="12" t="inlineStr">
        <is>
          <t>0</t>
        </is>
      </c>
      <c r="E21" s="12" t="inlineStr">
        <is>
          <t>Daily / manual</t>
        </is>
      </c>
      <c r="F21" s="12" t="inlineStr">
        <is>
          <t>None (public APIs)</t>
        </is>
      </c>
      <c r="G21" s="12" t="inlineStr">
        <is>
          <t>—</t>
        </is>
      </c>
      <c r="H21" s="12" t="inlineStr">
        <is>
          <t>rate + sources</t>
        </is>
      </c>
      <c r="I21" s="12" t="inlineStr">
        <is>
          <t>—</t>
        </is>
      </c>
      <c r="J21" s="13" t="inlineStr">
        <is>
          <t>Low</t>
        </is>
      </c>
      <c r="K21" s="13" t="inlineStr">
        <is>
          <t>Planned</t>
        </is>
      </c>
      <c r="L21" s="12" t="inlineStr">
        <is>
          <t>scripts/fx_rate_update.py</t>
        </is>
      </c>
    </row>
    <row r="22">
      <c r="A22" s="12" t="inlineStr">
        <is>
          <t>PY-21</t>
        </is>
      </c>
      <c r="B22" s="12" t="inlineStr">
        <is>
          <t>tracker_sync.py</t>
        </is>
      </c>
      <c r="C22" s="12" t="inlineStr">
        <is>
          <t>Sync tracker tables (tasks, issues, decisions) with PROJECT_MEMORY.md</t>
        </is>
      </c>
      <c r="D22" s="12" t="inlineStr">
        <is>
          <t>0</t>
        </is>
      </c>
      <c r="E22" s="12" t="inlineStr">
        <is>
          <t>Manual</t>
        </is>
      </c>
      <c r="F22" s="12" t="inlineStr">
        <is>
          <t>None</t>
        </is>
      </c>
      <c r="G22" s="12" t="inlineStr">
        <is>
          <t>tracker + memory</t>
        </is>
      </c>
      <c r="H22" s="12" t="inlineStr">
        <is>
          <t>diff report</t>
        </is>
      </c>
      <c r="I22" s="12" t="inlineStr">
        <is>
          <t>—</t>
        </is>
      </c>
      <c r="J22" s="13" t="inlineStr">
        <is>
          <t>Low</t>
        </is>
      </c>
      <c r="K22" s="13" t="inlineStr">
        <is>
          <t>Planned</t>
        </is>
      </c>
      <c r="L22" s="12" t="inlineStr">
        <is>
          <t>scripts/tracker_sync.py</t>
        </is>
      </c>
    </row>
    <row r="24">
      <c r="A24" s="23" t="inlineStr">
        <is>
          <t>Standards: Python 3.12+ (Lambda runtime python3.14), type hints, logging (not print), argparse, explicit non-zero exits, pytest tests, ruff/black. Secrets only from Secrets Manager.</t>
        </is>
      </c>
    </row>
  </sheetData>
  <autoFilter ref="A1:L22"/>
  <conditionalFormatting sqref="K2:K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3">
      <formula>"Planned"</formula>
    </cfRule>
  </conditionalFormatting>
  <dataValidations count="2">
    <dataValidation sqref="K2:K200" showDropDown="0" showInputMessage="0" showErrorMessage="0" allowBlank="1" type="list">
      <formula1>"Planned,In progress,Done,Dropped"</formula1>
    </dataValidation>
    <dataValidation sqref="J2:J20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0" customWidth="1" min="2" max="2"/>
    <col width="30" customWidth="1" min="3" max="3"/>
    <col width="10" customWidth="1" min="4" max="4"/>
    <col width="14" customWidth="1" min="5" max="5"/>
  </cols>
  <sheetData>
    <row r="1">
      <c r="A1" s="11" t="inlineStr">
        <is>
          <t>Date</t>
        </is>
      </c>
      <c r="B1" s="11" t="inlineStr">
        <is>
          <t>Action</t>
        </is>
      </c>
      <c r="C1" s="11" t="inlineStr">
        <is>
          <t>Target</t>
        </is>
      </c>
      <c r="D1" s="11" t="inlineStr">
        <is>
          <t>Risk</t>
        </is>
      </c>
      <c r="E1" s="11" t="inlineStr">
        <is>
          <t>Approved by</t>
        </is>
      </c>
    </row>
    <row r="2">
      <c r="A2" s="14" t="n">
        <v>46297</v>
      </c>
      <c r="B2" s="13" t="inlineStr">
        <is>
          <t>Send architecture design (no secrets/personal data) to Figma</t>
        </is>
      </c>
      <c r="C2" s="13" t="inlineStr">
        <is>
          <t>Figma Inc. (FigJam)</t>
        </is>
      </c>
      <c r="D2" s="13" t="inlineStr">
        <is>
          <t>Low</t>
        </is>
      </c>
      <c r="E2" s="13" t="inlineStr">
        <is>
          <t>Owner</t>
        </is>
      </c>
    </row>
  </sheetData>
  <autoFilter ref="A1:E2"/>
  <dataValidations count="1">
    <dataValidation sqref="D2:D200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4" customWidth="1" min="4" max="4"/>
    <col width="70" customWidth="1" min="5" max="5"/>
  </cols>
  <sheetData>
    <row r="1">
      <c r="A1" s="11" t="inlineStr">
        <is>
          <t>Document</t>
        </is>
      </c>
      <c r="B1" s="11" t="inlineStr">
        <is>
          <t>Version</t>
        </is>
      </c>
      <c r="C1" s="11" t="inlineStr">
        <is>
          <t>Date</t>
        </is>
      </c>
      <c r="D1" s="11" t="inlineStr">
        <is>
          <t>Type</t>
        </is>
      </c>
      <c r="E1" s="11" t="inlineStr">
        <is>
          <t>Summary</t>
        </is>
      </c>
    </row>
    <row r="2">
      <c r="A2" s="13" t="inlineStr">
        <is>
          <t>DESIGN.md</t>
        </is>
      </c>
      <c r="B2" s="13" t="inlineStr">
        <is>
          <t>0.1.0</t>
        </is>
      </c>
      <c r="C2" s="14" t="n">
        <v>46297</v>
      </c>
      <c r="D2" s="13" t="inlineStr">
        <is>
          <t>Initial draft</t>
        </is>
      </c>
      <c r="E2" s="13" t="inlineStr">
        <is>
          <t>Base plan: architecture, components, cost model, roadmap</t>
        </is>
      </c>
    </row>
    <row r="3">
      <c r="A3" s="13" t="inlineStr">
        <is>
          <t>DESIGN.md</t>
        </is>
      </c>
      <c r="B3" s="13" t="inlineStr">
        <is>
          <t>0.1.1</t>
        </is>
      </c>
      <c r="C3" s="14" t="n">
        <v>46297</v>
      </c>
      <c r="D3" s="13" t="inlineStr">
        <is>
          <t>Patch</t>
        </is>
      </c>
      <c r="E3" s="13" t="inlineStr">
        <is>
          <t>Budget set to ₹5,000/month; budget fit added</t>
        </is>
      </c>
    </row>
    <row r="4">
      <c r="A4" s="13" t="inlineStr">
        <is>
          <t>DESIGN.md</t>
        </is>
      </c>
      <c r="B4" s="13" t="inlineStr">
        <is>
          <t>0.1.2</t>
        </is>
      </c>
      <c r="C4" s="14" t="n">
        <v>46297</v>
      </c>
      <c r="D4" s="13" t="inlineStr">
        <is>
          <t>Patch</t>
        </is>
      </c>
      <c r="E4" s="13" t="inlineStr">
        <is>
          <t>FigJam board link; data exit X8 (Figma)</t>
        </is>
      </c>
    </row>
    <row r="5">
      <c r="A5" s="13" t="inlineStr">
        <is>
          <t>DESIGN.md</t>
        </is>
      </c>
      <c r="B5" s="13" t="inlineStr">
        <is>
          <t>0.1.3</t>
        </is>
      </c>
      <c r="C5" s="14" t="n">
        <v>46297</v>
      </c>
      <c r="D5" s="13" t="inlineStr">
        <is>
          <t>Patch</t>
        </is>
      </c>
      <c r="E5" s="13" t="inlineStr">
        <is>
          <t>Diagram images added (docs/diagrams/: jpg, svg, mmd)</t>
        </is>
      </c>
    </row>
    <row r="6">
      <c r="A6" s="13" t="inlineStr">
        <is>
          <t>Tracker</t>
        </is>
      </c>
      <c r="B6" s="13" t="inlineStr">
        <is>
          <t>1.1</t>
        </is>
      </c>
      <c r="C6" s="14" t="n">
        <v>46297</v>
      </c>
      <c r="D6" s="13" t="inlineStr">
        <is>
          <t>Patch</t>
        </is>
      </c>
      <c r="E6" s="13" t="inlineStr">
        <is>
          <t>Costs verified against AWS Price List API (ap-south-1); FX 96.12; I-3 closed</t>
        </is>
      </c>
    </row>
    <row r="7">
      <c r="A7" s="13" t="inlineStr">
        <is>
          <t>Tracker</t>
        </is>
      </c>
      <c r="B7" s="13" t="inlineStr">
        <is>
          <t>1.2</t>
        </is>
      </c>
      <c r="C7" s="14" t="n">
        <v>46297</v>
      </c>
      <c r="D7" s="13" t="inlineStr">
        <is>
          <t>Minor</t>
        </is>
      </c>
      <c r="E7" s="13" t="inlineStr">
        <is>
          <t>Resources sheet (39 lines, E2 Terraform) + Automation Scripts sheet (21 scripts); tasks T-016–T-019; issues I-7, I-8</t>
        </is>
      </c>
    </row>
  </sheetData>
  <autoFilter ref="A1:E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2026-10-02T11:20:01Z</dcterms:created>
  <dcterms:modified xsi:type="dcterms:W3CDTF">2026-10-02T15:09:35Z</dcterms:modified>
</cp:coreProperties>
</file>