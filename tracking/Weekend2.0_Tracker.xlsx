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Dev env" sheetId="9" state="visible" r:id="rId9"/>
    <sheet name="Automation Scripts" sheetId="10" state="visible" r:id="rId10"/>
    <sheet name="Approvals" sheetId="11" state="visible" r:id="rId11"/>
    <sheet name="Doc versions" sheetId="12" state="visible" r:id="rId12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'Resources'!$A$1:$N$34</definedName>
    <definedName name="_xlnm._FilterDatabase" localSheetId="9" hidden="1">'Automation Scripts'!$A$1:$L$22</definedName>
    <definedName name="_xlnm._FilterDatabase" localSheetId="10" hidden="1">'Approvals'!$A$1:$E$2</definedName>
    <definedName name="_xlnm._FilterDatabase" localSheetId="11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  <numFmt numFmtId="171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0" fontId="5" fillId="2" borderId="0" pivotButton="0" quotePrefix="0" xfId="0"/>
    <xf numFmtId="0" fontId="7" fillId="0" borderId="0" pivotButton="0" quotePrefix="0" xfId="0"/>
    <xf numFmtId="17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70" fontId="3" fillId="2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Google Cloud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IFERROR(INDEX(Decisions!$A$2:$A$7,MATCH(TRUE,INDEX(Decisions!$D$2:$D$7&lt;&gt;"Decided",0),0))&amp;" — "&amp;INDEX(Decisions!$C$2:$C$7,MATCH(TRUE,INDEX(Decisions!$D$2:$D$7&lt;&gt;"Decided",0),0)),"All decided")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(Terraform, Google Cloud — PROVISIONAL)</t>
        </is>
      </c>
    </row>
    <row r="45">
      <c r="A45" s="5" t="inlineStr">
        <is>
          <t>Resources tracked</t>
        </is>
      </c>
      <c r="B45" s="5">
        <f>COUNTA(Resources!$B$2:$B$33)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Prod (E2-GCP) estimated cost (₹/month incl. GST)</t>
        </is>
      </c>
      <c r="B47" s="32">
        <f>Resources!J35</f>
        <v/>
      </c>
    </row>
    <row r="48">
      <c r="A48" s="5" t="inlineStr">
        <is>
          <t>Prod fits budget?</t>
        </is>
      </c>
      <c r="B48" s="5">
        <f>Resources!J38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  <row r="51">
      <c r="A51" s="5" t="inlineStr">
        <is>
          <t>Dev estimated cost (₹/month)</t>
        </is>
      </c>
      <c r="B51" s="32">
        <f>'Dev env'!G16</f>
        <v/>
      </c>
    </row>
    <row r="52">
      <c r="A52" s="5" t="inlineStr">
        <is>
          <t>Dev + prod within budget?</t>
        </is>
      </c>
      <c r="B52" s="5">
        <f>'Dev env'!G20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Google Cloud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AWS draft — SUPERSEDED (by T-025, GCP, 2026-10-03)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Enable Claude in Vertex AI Model Garden; confirm model IDs (claude-haiku-4-5@20251001, claude-sonnet-5) and Sonnet 5 price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~~Aurora version + Bedrock IDs~~ superseded by D4 = GCP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  <row r="21">
      <c r="A21" s="12" t="inlineStr">
        <is>
          <t>T-020</t>
        </is>
      </c>
      <c r="B21" s="12" t="n">
        <v>5</v>
      </c>
      <c r="C21" s="12" t="inlineStr">
        <is>
          <t>Deploy dev environment (infra/envs/dev) — files ready; owner runs plan/apply after security checkpoint</t>
        </is>
      </c>
      <c r="D21" s="12" t="inlineStr">
        <is>
          <t>High</t>
        </is>
      </c>
      <c r="E21" s="12" t="inlineStr">
        <is>
          <t>In progress</t>
        </is>
      </c>
      <c r="F21" s="16" t="n">
        <v>46297</v>
      </c>
      <c r="G21" s="16" t="n"/>
      <c r="H21" s="16" t="n"/>
      <c r="I21" s="12" t="inlineStr">
        <is>
          <t>infra/README.md → Dev run order</t>
        </is>
      </c>
    </row>
    <row r="22">
      <c r="A22" s="12" t="inlineStr">
        <is>
          <t>T-021</t>
        </is>
      </c>
      <c r="B22" s="12" t="n">
        <v>2</v>
      </c>
      <c r="C22" s="12" t="inlineStr">
        <is>
          <t>Fill infra/tailscale/policy.local.hujson (git-ignored) and apply in Tailscale admin console</t>
        </is>
      </c>
      <c r="D22" s="12" t="inlineStr">
        <is>
          <t>High</t>
        </is>
      </c>
      <c r="E22" s="12" t="inlineStr">
        <is>
          <t>Not started</t>
        </is>
      </c>
      <c r="F22" s="16" t="n"/>
      <c r="G22" s="16" t="n"/>
      <c r="H22" s="16" t="n"/>
      <c r="I22" s="12" t="inlineStr">
        <is>
          <t>Before the dev entry node first boots</t>
        </is>
      </c>
    </row>
    <row r="23">
      <c r="A23" s="12" t="inlineStr">
        <is>
          <t>T-022</t>
        </is>
      </c>
      <c r="B23" s="12" t="n">
        <v>5</v>
      </c>
      <c r="C23" s="12" t="inlineStr">
        <is>
          <t>Branching: main base; dev/prod/release from main (prod, release idle); feature_* from dev; env values in GitHub dev environment secrets; CI guard</t>
        </is>
      </c>
      <c r="D23" s="12" t="inlineStr">
        <is>
          <t>High</t>
        </is>
      </c>
      <c r="E23" s="12" t="inlineStr">
        <is>
          <t>Done</t>
        </is>
      </c>
      <c r="F23" s="16" t="n">
        <v>46298</v>
      </c>
      <c r="G23" s="16" t="n"/>
      <c r="H23" s="16" t="n">
        <v>46298</v>
      </c>
      <c r="I23" s="12" t="inlineStr">
        <is>
          <t>docs/BRANCHING.md</t>
        </is>
      </c>
    </row>
    <row r="24">
      <c r="A24" s="12" t="inlineStr">
        <is>
          <t>T-023</t>
        </is>
      </c>
      <c r="B24" s="12" t="n">
        <v>5</v>
      </c>
      <c r="C24" s="12" t="inlineStr">
        <is>
          <t>feature_infra: plan script, CI plan workflow (OIDC, secrets), GitHub plan role in bootstrap — PR feature_infra → dev</t>
        </is>
      </c>
      <c r="D24" s="12" t="inlineStr">
        <is>
          <t>High</t>
        </is>
      </c>
      <c r="E24" s="12" t="inlineStr">
        <is>
          <t>In progress</t>
        </is>
      </c>
      <c r="F24" s="16" t="n">
        <v>46298</v>
      </c>
      <c r="G24" s="16" t="n"/>
      <c r="H24" s="16" t="n"/>
      <c r="I24" s="12" t="inlineStr">
        <is>
          <t>Supersedes PR #1</t>
        </is>
      </c>
    </row>
    <row r="25">
      <c r="A25" s="12" t="inlineStr">
        <is>
          <t>T-024</t>
        </is>
      </c>
      <c r="B25" s="12" t="n">
        <v>5</v>
      </c>
      <c r="C25" s="12" t="inlineStr">
        <is>
          <t>Set dev environment secrets GCP_PROJECT_ID, GCP_BILLING_ACCOUNT_ID, ALERT_EMAIL; apply bootstrap → GCP_WIF_PROVIDER, GCP_PLAN_SERVICE_ACCOUNT</t>
        </is>
      </c>
      <c r="D25" s="12" t="inlineStr">
        <is>
          <t>High</t>
        </is>
      </c>
      <c r="E25" s="12" t="inlineStr">
        <is>
          <t>Not started</t>
        </is>
      </c>
      <c r="F25" s="16" t="n"/>
      <c r="G25" s="16" t="n"/>
      <c r="H25" s="16" t="n"/>
      <c r="I25" s="12" t="inlineStr">
        <is>
          <t>Needs gcloud auth login (I-20) + dev project (T-026) + security checkpoint</t>
        </is>
      </c>
    </row>
    <row r="26">
      <c r="A26" s="12" t="inlineStr">
        <is>
          <t>T-025</t>
        </is>
      </c>
      <c r="B26" s="12" t="n">
        <v>5</v>
      </c>
      <c r="C26" s="12" t="inlineStr">
        <is>
          <t>Rewrite Terraform for Google Cloud (bootstrap + 8 modules + dev/prod); validated (TF 1.16.5, google 8.5.0)</t>
        </is>
      </c>
      <c r="D26" s="12" t="inlineStr">
        <is>
          <t>High</t>
        </is>
      </c>
      <c r="E26" s="12" t="inlineStr">
        <is>
          <t>Done</t>
        </is>
      </c>
      <c r="F26" s="16" t="n">
        <v>46298</v>
      </c>
      <c r="G26" s="16" t="n"/>
      <c r="H26" s="16" t="n">
        <v>46298</v>
      </c>
      <c r="I26" s="12" t="inlineStr">
        <is>
          <t>D4 = GCP; feature_infra / PR #2</t>
        </is>
      </c>
    </row>
    <row r="27">
      <c r="A27" s="12" t="inlineStr">
        <is>
          <t>T-026</t>
        </is>
      </c>
      <c r="B27" s="12" t="n">
        <v>0</v>
      </c>
      <c r="C27" s="12" t="inlineStr">
        <is>
          <t>gcloud auth login + application-default login; create weekend2-dev-&lt;suffix&gt;, link billing</t>
        </is>
      </c>
      <c r="D27" s="12" t="inlineStr">
        <is>
          <t>High</t>
        </is>
      </c>
      <c r="E27" s="12" t="inlineStr">
        <is>
          <t>Not started</t>
        </is>
      </c>
      <c r="F27" s="16" t="n"/>
      <c r="G27" s="16" t="n"/>
      <c r="H27" s="16" t="n"/>
      <c r="I27" s="12" t="inlineStr">
        <is>
          <t>Security checkpoint (new project + billing)</t>
        </is>
      </c>
    </row>
    <row r="28">
      <c r="A28" s="12" t="inlineStr">
        <is>
          <t>T-027</t>
        </is>
      </c>
      <c r="B28" s="12" t="n">
        <v>0</v>
      </c>
      <c r="C28" s="12" t="inlineStr">
        <is>
          <t>Regenerate FigJam diagrams for GCP and re-export images (sources in docs/diagrams/*.mmd)</t>
        </is>
      </c>
      <c r="D28" s="12" t="inlineStr">
        <is>
          <t>Low</t>
        </is>
      </c>
      <c r="E28" s="12" t="inlineStr">
        <is>
          <t>Not started</t>
        </is>
      </c>
      <c r="F28" s="16" t="n"/>
      <c r="G28" s="16" t="n"/>
      <c r="H28" s="16" t="n"/>
      <c r="I28" s="12" t="inlineStr">
        <is>
          <t>Old AWS images archived</t>
        </is>
      </c>
    </row>
    <row r="29">
      <c r="A29" s="12" t="inlineStr">
        <is>
          <t>T-028</t>
        </is>
      </c>
      <c r="B29" s="12" t="n">
        <v>0</v>
      </c>
      <c r="C29" s="12" t="inlineStr">
        <is>
          <t>Decide D2 location: Claude via Vertex global (🔓) vs Gemini in asia-south1</t>
        </is>
      </c>
      <c r="D29" s="12" t="inlineStr">
        <is>
          <t>Medium</t>
        </is>
      </c>
      <c r="E29" s="12" t="inlineStr">
        <is>
          <t>Not started</t>
        </is>
      </c>
      <c r="F29" s="16" t="n"/>
      <c r="G29" s="16" t="n"/>
      <c r="H29" s="16" t="n"/>
      <c r="I29" s="12" t="inlineStr">
        <is>
          <t>I-19</t>
        </is>
      </c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E2-GCP: Cloud Run + Firestore + e2-micro tailnet entry node, asia-south1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on Vertex AI, global endpoint (🔓 leaves India); Gemini asia-south1 = in-India option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Decided</t>
        </is>
      </c>
      <c r="E4" s="12" t="inlineStr">
        <is>
          <t>~~AWS~~ → GCP (§16)</t>
        </is>
      </c>
      <c r="F4" s="13" t="inlineStr">
        <is>
          <t>Google Cloud (asia-south1)</t>
        </is>
      </c>
      <c r="G4" s="14" t="n">
        <v>46298</v>
      </c>
      <c r="H4" s="13" t="inlineStr">
        <is>
          <t>docs/adr/ADR-0001-d4-cloud-provider-gcp.md</t>
        </is>
      </c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Firestore Native (default), CMEK, asia-south1; GCS backups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Superseded: D4 = GCP (no Bedrock)</t>
        </is>
      </c>
      <c r="E3" s="13" t="inlineStr">
        <is>
          <t>Closed</t>
        </is>
      </c>
      <c r="F3" s="16" t="n">
        <v>46297</v>
      </c>
      <c r="G3" s="14" t="n">
        <v>46298</v>
      </c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Superseded: AWS network diagram archived; GCP diagram 04-gcp-network.mmd</t>
        </is>
      </c>
      <c r="E6" s="13" t="inlineStr">
        <is>
          <t>Closed</t>
        </is>
      </c>
      <c r="F6" s="16" t="n">
        <v>46297</v>
      </c>
      <c r="G6" s="14" t="n">
        <v>46298</v>
      </c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Superseded: Firestore has no pause/resume</t>
        </is>
      </c>
      <c r="E8" s="13" t="inlineStr">
        <is>
          <t>Closed</t>
        </is>
      </c>
      <c r="F8" s="16" t="n">
        <v>46297</v>
      </c>
      <c r="G8" s="14" t="n">
        <v>46298</v>
      </c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Superseded: Vertex model IDs from Anthropic docs (2026-10-03)</t>
        </is>
      </c>
      <c r="E9" s="13" t="inlineStr">
        <is>
          <t>Closed</t>
        </is>
      </c>
      <c r="F9" s="16" t="n">
        <v>46297</v>
      </c>
      <c r="G9" s="14" t="n">
        <v>46298</v>
      </c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brew install hashicorp/tap/terraform (T-019)</t>
        </is>
      </c>
      <c r="E11" s="13" t="inlineStr">
        <is>
          <t>Open</t>
        </is>
      </c>
      <c r="F11" s="16" t="n">
        <v>46297</v>
      </c>
      <c r="G11" s="14" t="n"/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Superseded: GCP estimate ≈ ₹2,784 incl. GST (≈ 56%)</t>
        </is>
      </c>
      <c r="E12" s="13" t="inlineStr">
        <is>
          <t>Closed</t>
        </is>
      </c>
      <c r="F12" s="16" t="n">
        <v>46297</v>
      </c>
      <c r="G12" s="14" t="n">
        <v>46298</v>
      </c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Superseded: Cloud Run streams HTTP responses natively</t>
        </is>
      </c>
      <c r="E13" s="13" t="inlineStr">
        <is>
          <t>Closed</t>
        </is>
      </c>
      <c r="F13" s="16" t="n">
        <v>46297</v>
      </c>
      <c r="G13" s="14" t="n">
        <v>46298</v>
      </c>
    </row>
    <row r="14">
      <c r="A14" s="12" t="inlineStr">
        <is>
          <t>I-13</t>
        </is>
      </c>
      <c r="B14" s="12" t="inlineStr">
        <is>
          <t>Dev (≈ ₹1,042) + prod (≈ ₹4,855) together ≈ ₹5,900 — over the ₹5,000 budget</t>
        </is>
      </c>
      <c r="C14" s="12" t="inlineStr">
        <is>
          <t>Medium</t>
        </is>
      </c>
      <c r="D14" s="12" t="inlineStr">
        <is>
          <t>Superseded: dev + prod on GCP ≈ ₹3,030</t>
        </is>
      </c>
      <c r="E14" s="12" t="inlineStr">
        <is>
          <t>Closed</t>
        </is>
      </c>
      <c r="F14" s="16" t="n">
        <v>46297</v>
      </c>
      <c r="G14" s="16" t="n">
        <v>46298</v>
      </c>
    </row>
    <row r="15">
      <c r="A15" s="12" t="inlineStr">
        <is>
          <t>I-14</t>
        </is>
      </c>
      <c r="B15" s="12" t="inlineStr">
        <is>
          <t>EC2 T4g free trial (t4g.small) ends 2026-12-31; dev node then becomes paid</t>
        </is>
      </c>
      <c r="C15" s="12" t="inlineStr">
        <is>
          <t>Low</t>
        </is>
      </c>
      <c r="D15" s="12" t="inlineStr">
        <is>
          <t>Superseded: AWS dropped</t>
        </is>
      </c>
      <c r="E15" s="12" t="inlineStr">
        <is>
          <t>Open</t>
        </is>
      </c>
      <c r="F15" s="16" t="n">
        <v>46297</v>
      </c>
      <c r="G15" s="16" t="n"/>
    </row>
    <row r="16">
      <c r="A16" s="12" t="inlineStr">
        <is>
          <t>I-15</t>
        </is>
      </c>
      <c r="B16" s="12" t="inlineStr">
        <is>
          <t>On an AWS Free plan account, Claude models on Bedrock (Marketplace) may be blocked — Not verified</t>
        </is>
      </c>
      <c r="C16" s="12" t="inlineStr">
        <is>
          <t>Medium</t>
        </is>
      </c>
      <c r="D16" s="12" t="inlineStr">
        <is>
          <t>Superseded: AWS dropped</t>
        </is>
      </c>
      <c r="E16" s="12" t="inlineStr">
        <is>
          <t>Closed</t>
        </is>
      </c>
      <c r="F16" s="16" t="n">
        <v>46297</v>
      </c>
      <c r="G16" s="16" t="n">
        <v>46298</v>
      </c>
    </row>
    <row r="17">
      <c r="A17" s="12" t="inlineStr">
        <is>
          <t>I-16</t>
        </is>
      </c>
      <c r="B17" s="12" t="inlineStr">
        <is>
          <t>AWS credentials on the Mac are invalid (InvalidClientTokenId); blocks terraform plan</t>
        </is>
      </c>
      <c r="C17" s="12" t="inlineStr">
        <is>
          <t>High</t>
        </is>
      </c>
      <c r="D17" s="12" t="inlineStr">
        <is>
          <t>Superseded: AWS dropped — delete the dead keys in ~/.aws/credentials</t>
        </is>
      </c>
      <c r="E17" s="12" t="inlineStr">
        <is>
          <t>Closed</t>
        </is>
      </c>
      <c r="F17" s="16" t="n">
        <v>46298</v>
      </c>
      <c r="G17" s="16" t="n">
        <v>46298</v>
      </c>
    </row>
    <row r="18">
      <c r="A18" s="12" t="inlineStr">
        <is>
          <t>I-18</t>
        </is>
      </c>
      <c r="B18" s="12" t="inlineStr">
        <is>
          <t>PR #2 plan output pending: CI plan needs GCP_WIF_PROVIDER / GCP_PLAN_SERVICE_ACCOUNT (bootstrap apply) and the dev secrets</t>
        </is>
      </c>
      <c r="C18" s="12" t="inlineStr">
        <is>
          <t>Medium</t>
        </is>
      </c>
      <c r="D18" s="12" t="inlineStr">
        <is>
          <t>T-024</t>
        </is>
      </c>
      <c r="E18" s="12" t="inlineStr">
        <is>
          <t>Open</t>
        </is>
      </c>
      <c r="F18" s="16" t="n">
        <v>46298</v>
      </c>
      <c r="G18" s="16" t="n"/>
    </row>
    <row r="19">
      <c r="A19" s="12" t="inlineStr">
        <is>
          <t>I-19</t>
        </is>
      </c>
      <c r="B19" s="12" t="inlineStr">
        <is>
          <t>Claude on Vertex AI has no India region (global or US/EU only): prompts may leave India (🔓 X1, M5 "data in India where possible")</t>
        </is>
      </c>
      <c r="C19" s="12" t="inlineStr">
        <is>
          <t>Medium</t>
        </is>
      </c>
      <c r="D19" s="12" t="inlineStr">
        <is>
          <t>Accept, or pick Gemini in asia-south1 under D2 (T-028)</t>
        </is>
      </c>
      <c r="E19" s="12" t="inlineStr">
        <is>
          <t>Open</t>
        </is>
      </c>
      <c r="F19" s="16" t="n">
        <v>46298</v>
      </c>
      <c r="G19" s="16" t="n"/>
    </row>
    <row r="20">
      <c r="A20" s="12" t="inlineStr">
        <is>
          <t>I-20</t>
        </is>
      </c>
      <c r="B20" s="12" t="inlineStr">
        <is>
          <t>gcloud tokens on the Mac expired (invalid_grant); default project is an unrelated one</t>
        </is>
      </c>
      <c r="C20" s="12" t="inlineStr">
        <is>
          <t>High</t>
        </is>
      </c>
      <c r="D20" s="12" t="inlineStr">
        <is>
          <t>gcloud auth login + application-default login; set a weekend2 project (T-026)</t>
        </is>
      </c>
      <c r="E20" s="12" t="inlineStr">
        <is>
          <t>Open</t>
        </is>
      </c>
      <c r="F20" s="16" t="n">
        <v>46298</v>
      </c>
      <c r="G20" s="16" t="n"/>
    </row>
    <row r="21">
      <c r="A21" s="12" t="inlineStr">
        <is>
          <t>I-21</t>
        </is>
      </c>
      <c r="B21" s="12" t="inlineStr">
        <is>
          <t>Diagram images (jpg/svg) still show AWS; archived in docs/diagrams/archive-aws</t>
        </is>
      </c>
      <c r="C21" s="12" t="inlineStr">
        <is>
          <t>Low</t>
        </is>
      </c>
      <c r="D21" s="12" t="inlineStr">
        <is>
          <t>T-027</t>
        </is>
      </c>
      <c r="E21" s="12" t="inlineStr">
        <is>
          <t>Open</t>
        </is>
      </c>
      <c r="F21" s="16" t="n">
        <v>46298</v>
      </c>
      <c r="G21" s="16" t="n"/>
    </row>
    <row r="22">
      <c r="A22" s="12" t="inlineStr">
        <is>
          <t>I-22</t>
        </is>
      </c>
      <c r="B22" s="12" t="inlineStr">
        <is>
          <t>Several GCP prices 'Not verified' (pd-balanced, KMS, GCS asia-south1, voice)</t>
        </is>
      </c>
      <c r="C22" s="12" t="inlineStr">
        <is>
          <t>Low</t>
        </is>
      </c>
      <c r="D22" s="12" t="inlineStr">
        <is>
          <t>Refresh with the Google Cloud Pricing Calculator before D1</t>
        </is>
      </c>
      <c r="E22" s="12" t="inlineStr">
        <is>
          <t>Open</t>
        </is>
      </c>
      <c r="F22" s="16" t="n">
        <v>46298</v>
      </c>
      <c r="G22" s="16" t="n"/>
    </row>
    <row r="23">
      <c r="A23" s="12" t="inlineStr">
        <is>
          <t>I-23</t>
        </is>
      </c>
      <c r="B23" s="12" t="inlineStr">
        <is>
          <t>Dev re-create within ~7 days fails on the Cloud Tasks queue name; Firestore (default) may need a few minutes</t>
        </is>
      </c>
      <c r="C23" s="12" t="inlineStr">
        <is>
          <t>Low</t>
        </is>
      </c>
      <c r="D23" s="12" t="inlineStr">
        <is>
          <t>Wait, or rename the queue for a quick re-create</t>
        </is>
      </c>
      <c r="E23" s="12" t="inlineStr">
        <is>
          <t>Open</t>
        </is>
      </c>
      <c r="F23" s="16" t="n">
        <v>46298</v>
      </c>
      <c r="G23" s="16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Compute Engine e2-micro (entry node, asia-south1)</t>
        </is>
      </c>
      <c r="B2" s="12" t="inlineStr">
        <is>
          <t>$0.0101/h × 730 h</t>
        </is>
      </c>
      <c r="C2" s="26" t="n">
        <v>7.37</v>
      </c>
      <c r="D2" s="27">
        <f>C2*$B$15</f>
        <v/>
      </c>
      <c r="E2" s="13" t="inlineStr">
        <is>
          <t>Third-party catalogue</t>
        </is>
      </c>
      <c r="F2" s="12" t="inlineStr">
        <is>
          <t>gcloud-compute.com/e2-micro.html (data 2026-09-27)</t>
        </is>
      </c>
    </row>
    <row r="3">
      <c r="A3" s="12" t="inlineStr">
        <is>
          <t>Persistent disk pd-balanced 10 GB (CMEK)</t>
        </is>
      </c>
      <c r="B3" s="12" t="inlineStr">
        <is>
          <t>~$0.11/GB-month × 10</t>
        </is>
      </c>
      <c r="C3" s="26" t="n">
        <v>1.1</v>
      </c>
      <c r="D3" s="27">
        <f>C3*$B$15</f>
        <v/>
      </c>
      <c r="E3" s="13" t="inlineStr">
        <is>
          <t>Not verified</t>
        </is>
      </c>
      <c r="F3" s="12" t="inlineStr">
        <is>
          <t>Google Cloud disk pricing (asia-south1 rate to confirm)</t>
        </is>
      </c>
    </row>
    <row r="4">
      <c r="A4" s="12" t="inlineStr">
        <is>
          <t>Cloud NAT</t>
        </is>
      </c>
      <c r="B4" s="12" t="inlineStr">
        <is>
          <t>$0.0014/VM-h × 730 + ~1 GiB × $0.045</t>
        </is>
      </c>
      <c r="C4" s="26" t="n">
        <v>1.07</v>
      </c>
      <c r="D4" s="27">
        <f>C4*$B$15</f>
        <v/>
      </c>
      <c r="E4" s="13" t="inlineStr">
        <is>
          <t>Search</t>
        </is>
      </c>
      <c r="F4" s="12" t="inlineStr">
        <is>
          <t>cloud.google.com/nat; enforza.io summary</t>
        </is>
      </c>
    </row>
    <row r="5">
      <c r="A5" s="12" t="inlineStr">
        <is>
          <t>Cloud KMS (1 key, CMEK ops)</t>
        </is>
      </c>
      <c r="B5" s="12" t="inlineStr">
        <is>
          <t>$0.06/version + ~9k ops</t>
        </is>
      </c>
      <c r="C5" s="26" t="n">
        <v>0.1</v>
      </c>
      <c r="D5" s="27">
        <f>C5*$B$15</f>
        <v/>
      </c>
      <c r="E5" s="13" t="inlineStr">
        <is>
          <t>Not verified</t>
        </is>
      </c>
      <c r="F5" s="12" t="inlineStr">
        <is>
          <t>cloud.google.com/kms/pricing</t>
        </is>
      </c>
    </row>
    <row r="6">
      <c r="A6" s="12" t="inlineStr">
        <is>
          <t>Secret Manager (3 secrets)</t>
        </is>
      </c>
      <c r="B6" s="12" t="inlineStr">
        <is>
          <t>≤ 6 active versions free</t>
        </is>
      </c>
      <c r="C6" s="26" t="n">
        <v>0</v>
      </c>
      <c r="D6" s="27">
        <f>C6*$B$15</f>
        <v/>
      </c>
      <c r="E6" s="13" t="inlineStr">
        <is>
          <t>Search</t>
        </is>
      </c>
      <c r="F6" s="12" t="inlineStr">
        <is>
          <t>cloud.google.com/secret-manager/pricing</t>
        </is>
      </c>
    </row>
    <row r="7">
      <c r="A7" s="12" t="inlineStr">
        <is>
          <t>GCS backups</t>
        </is>
      </c>
      <c r="B7" s="12" t="inlineStr">
        <is>
          <t>~15 GB Standard + soft delete</t>
        </is>
      </c>
      <c r="C7" s="26" t="n">
        <v>0.4</v>
      </c>
      <c r="D7" s="27">
        <f>C7*$B$15</f>
        <v/>
      </c>
      <c r="E7" s="13" t="inlineStr">
        <is>
          <t>Estimate</t>
        </is>
      </c>
      <c r="F7" s="12" t="inlineStr">
        <is>
          <t>cloud.google.com/storage/pricing</t>
        </is>
      </c>
    </row>
    <row r="8">
      <c r="A8" s="12" t="inlineStr">
        <is>
          <t>Firestore + daily backups</t>
        </is>
      </c>
      <c r="B8" s="12" t="inlineStr">
        <is>
          <t>Within free quota; backup storage</t>
        </is>
      </c>
      <c r="C8" s="26" t="n">
        <v>0.05</v>
      </c>
      <c r="D8" s="27">
        <f>C8*$B$15</f>
        <v/>
      </c>
      <c r="E8" s="13" t="inlineStr">
        <is>
          <t>Estimate</t>
        </is>
      </c>
      <c r="F8" s="12" t="inlineStr">
        <is>
          <t>cloud.google.com/firestore/pricing</t>
        </is>
      </c>
    </row>
    <row r="9">
      <c r="A9" s="12" t="inlineStr">
        <is>
          <t>Cloud Run, Scheduler, Tasks, Logging, Budgets</t>
        </is>
      </c>
      <c r="B9" s="12" t="inlineStr">
        <is>
          <t>All within free tiers at single-user volume</t>
        </is>
      </c>
      <c r="C9" s="26" t="n">
        <v>0</v>
      </c>
      <c r="D9" s="27">
        <f>C9*$B$15</f>
        <v/>
      </c>
      <c r="E9" s="13" t="inlineStr">
        <is>
          <t>Search</t>
        </is>
      </c>
      <c r="F9" s="12" t="inlineStr">
        <is>
          <t>cloud.google.com/run/pricing etc.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6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Claude on Vertex AI (global, expected 3,000 turns)</t>
        </is>
      </c>
      <c r="B11" s="12" t="inlineStr">
        <is>
          <t>80% Haiku 4.5 / 20% Sonnet 5, no regional premium</t>
        </is>
      </c>
      <c r="C11" s="26" t="n">
        <v>14.45</v>
      </c>
      <c r="D11" s="27">
        <f>C11*$B$15</f>
        <v/>
      </c>
      <c r="E11" s="13" t="inlineStr">
        <is>
          <t>Calculated</t>
        </is>
      </c>
      <c r="F11" s="12" t="inlineStr">
        <is>
          <t>DESIGN.md §21.1; platform.claude.com pricing</t>
        </is>
      </c>
    </row>
    <row r="12">
      <c r="A12" s="12" t="inlineStr">
        <is>
          <t>GST (18%, Google Cloud India)</t>
        </is>
      </c>
      <c r="B12" s="12" t="inlineStr">
        <is>
          <t>18% of lines above</t>
        </is>
      </c>
      <c r="C12" s="37">
        <f>ROUND(SUM(C2:C11)*0.18,2)</f>
        <v/>
      </c>
      <c r="D12" s="27">
        <f>C12*$B$15</f>
        <v/>
      </c>
      <c r="E12" s="12" t="inlineStr">
        <is>
          <t>Assumption (confirm billing entity)</t>
        </is>
      </c>
      <c r="F12" s="12" t="inlineStr">
        <is>
          <t>Indian GST on cloud services</t>
        </is>
      </c>
    </row>
    <row r="13">
      <c r="A13" s="3" t="inlineStr">
        <is>
          <t>Total per month incl. GST</t>
        </is>
      </c>
      <c r="B13" s="5" t="n"/>
      <c r="C13" s="29">
        <f>SUM(C2:C12)</f>
        <v/>
      </c>
      <c r="D13" s="30">
        <f>SUM(D2:D12)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 prod on Google Cloud (E2-GCP: Cloud Run + Firestore + e2-micro tailnet node, asia-south1; Claude via Vertex AI global). Voice adds ≈ ₹2,330 with Google STT/TTS (DESIGN.md §21.3).</t>
        </is>
      </c>
    </row>
    <row r="22">
      <c r="A22" s="23" t="inlineStr">
        <is>
          <t>Note: D4 = GCP (2026-10-03). The previous AWS baseline (option B / E2) is superseded. Per-resource lines: Resources sheet (prod) and Dev env sheet.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bootstrap: google_project_service.this (18 APIs)</t>
        </is>
      </c>
      <c r="C2" s="12" t="inlineStr">
        <is>
          <t>Project services</t>
        </is>
      </c>
      <c r="D2" s="12" t="inlineStr">
        <is>
          <t>run, firestore, secretmanager, cloudkms, compute, …</t>
        </is>
      </c>
      <c r="E2" s="12" t="inlineStr">
        <is>
          <t>bootstrap</t>
        </is>
      </c>
      <c r="F2" s="12" t="inlineStr">
        <is>
          <t>project</t>
        </is>
      </c>
      <c r="G2" s="12" t="inlineStr">
        <is>
          <t>Enable the APIs the stack uses</t>
        </is>
      </c>
      <c r="H2" s="12" t="inlineStr">
        <is>
          <t>disable_on_destroy = false</t>
        </is>
      </c>
      <c r="I2" s="26" t="n">
        <v>0</v>
      </c>
      <c r="J2" s="27">
        <f>I2*Cost!$B$15</f>
        <v/>
      </c>
      <c r="K2" s="12" t="inlineStr">
        <is>
          <t>No charge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0</v>
      </c>
    </row>
    <row r="3">
      <c r="A3" s="12" t="n">
        <v>2</v>
      </c>
      <c r="B3" s="12" t="inlineStr">
        <is>
          <t>bootstrap: google_storage_bucket.tfstate</t>
        </is>
      </c>
      <c r="C3" s="12" t="inlineStr">
        <is>
          <t>GCS bucket</t>
        </is>
      </c>
      <c r="D3" s="12" t="inlineStr">
        <is>
          <t>&lt;project-id&gt;-tfstate</t>
        </is>
      </c>
      <c r="E3" s="12" t="inlineStr">
        <is>
          <t>bootstrap</t>
        </is>
      </c>
      <c r="F3" s="12" t="inlineStr">
        <is>
          <t>asia-south1</t>
        </is>
      </c>
      <c r="G3" s="12" t="inlineStr">
        <is>
          <t>Terraform state (built-in locking)</t>
        </is>
      </c>
      <c r="H3" s="12" t="inlineStr">
        <is>
          <t>Versioned; public access prevention; prevent_destroy</t>
        </is>
      </c>
      <c r="I3" s="26" t="n">
        <v>0.01</v>
      </c>
      <c r="J3" s="27">
        <f>I3*Cost!$B$15</f>
        <v/>
      </c>
      <c r="K3" s="12" t="inlineStr">
        <is>
          <t>KB-sized state</t>
        </is>
      </c>
      <c r="L3" s="13" t="inlineStr">
        <is>
          <t>Estimate</t>
        </is>
      </c>
      <c r="M3" s="13" t="inlineStr">
        <is>
          <t>Drafted (not applied)</t>
        </is>
      </c>
      <c r="N3" s="12" t="n">
        <v>0</v>
      </c>
    </row>
    <row r="4">
      <c r="A4" s="12" t="n">
        <v>3</v>
      </c>
      <c r="B4" s="12" t="inlineStr">
        <is>
          <t>bootstrap: google_kms_key_ring.this</t>
        </is>
      </c>
      <c r="C4" s="12" t="inlineStr">
        <is>
          <t>KMS key ring</t>
        </is>
      </c>
      <c r="D4" s="12" t="inlineStr">
        <is>
          <t>weekend2-prod</t>
        </is>
      </c>
      <c r="E4" s="12" t="inlineStr">
        <is>
          <t>bootstrap</t>
        </is>
      </c>
      <c r="F4" s="12" t="inlineStr">
        <is>
          <t>asia-south1</t>
        </is>
      </c>
      <c r="G4" s="12" t="inlineStr">
        <is>
          <t>Holds the CMEK key (key rings can never be deleted)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0</v>
      </c>
    </row>
    <row r="5">
      <c r="A5" s="12" t="n">
        <v>4</v>
      </c>
      <c r="B5" s="12" t="inlineStr">
        <is>
          <t>bootstrap: google_kms_crypto_key.data</t>
        </is>
      </c>
      <c r="C5" s="12" t="inlineStr">
        <is>
          <t>KMS key (CMEK)</t>
        </is>
      </c>
      <c r="D5" s="12" t="inlineStr">
        <is>
          <t>data</t>
        </is>
      </c>
      <c r="E5" s="12" t="inlineStr">
        <is>
          <t>bootstrap</t>
        </is>
      </c>
      <c r="F5" s="12" t="inlineStr">
        <is>
          <t>asia-south1</t>
        </is>
      </c>
      <c r="G5" s="12" t="inlineStr">
        <is>
          <t>Encrypts Firestore, Secret Manager, GCS, VM disk (P3)</t>
        </is>
      </c>
      <c r="H5" s="12" t="inlineStr">
        <is>
          <t>Rotation 365 d; prevent_destroy</t>
        </is>
      </c>
      <c r="I5" s="26" t="n">
        <v>0.1</v>
      </c>
      <c r="J5" s="27">
        <f>I5*Cost!$B$15</f>
        <v/>
      </c>
      <c r="K5" s="12" t="inlineStr">
        <is>
          <t>$0.06/key version-month + CMEK ops (~9k/month × $0.03/10k)</t>
        </is>
      </c>
      <c r="L5" s="13" t="inlineStr">
        <is>
          <t>Not verified</t>
        </is>
      </c>
      <c r="M5" s="13" t="inlineStr">
        <is>
          <t>Drafted (not applied)</t>
        </is>
      </c>
      <c r="N5" s="12" t="n">
        <v>0</v>
      </c>
    </row>
    <row r="6">
      <c r="A6" s="12" t="n">
        <v>5</v>
      </c>
      <c r="B6" s="12" t="inlineStr">
        <is>
          <t>bootstrap: google_kms_crypto_key_iam_member.service_agents (4)</t>
        </is>
      </c>
      <c r="C6" s="12" t="inlineStr">
        <is>
          <t>IAM bindings</t>
        </is>
      </c>
      <c r="D6" s="12" t="inlineStr">
        <is>
          <t>Firestore, Secret Manager, Storage, Compute agents</t>
        </is>
      </c>
      <c r="E6" s="12" t="inlineStr">
        <is>
          <t>bootstrap</t>
        </is>
      </c>
      <c r="F6" s="12" t="inlineStr">
        <is>
          <t>asia-south1</t>
        </is>
      </c>
      <c r="G6" s="12" t="inlineStr">
        <is>
          <t>Let Google service agents use the key</t>
        </is>
      </c>
      <c r="H6" s="12" t="inlineStr">
        <is>
          <t>roles/cloudkms.cryptoKeyEncrypterDecrypter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0</v>
      </c>
    </row>
    <row r="7">
      <c r="A7" s="12" t="n">
        <v>6</v>
      </c>
      <c r="B7" s="12" t="inlineStr">
        <is>
          <t>bootstrap: google_iam_workload_identity_pool + _provider</t>
        </is>
      </c>
      <c r="C7" s="12" t="inlineStr">
        <is>
          <t>Workload Identity Federation</t>
        </is>
      </c>
      <c r="D7" s="12" t="inlineStr">
        <is>
          <t>github / github-oidc</t>
        </is>
      </c>
      <c r="E7" s="12" t="inlineStr">
        <is>
          <t>bootstrap</t>
        </is>
      </c>
      <c r="F7" s="12" t="inlineStr">
        <is>
          <t>global</t>
        </is>
      </c>
      <c r="G7" s="12" t="inlineStr">
        <is>
          <t>Keyless GitHub Actions → GCP</t>
        </is>
      </c>
      <c r="H7" s="12" t="inlineStr">
        <is>
          <t>Only SharoffNIKHIL/Weekend2.0 in the matching GitHub environment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5</v>
      </c>
    </row>
    <row r="8">
      <c r="A8" s="12" t="n">
        <v>7</v>
      </c>
      <c r="B8" s="12" t="inlineStr">
        <is>
          <t>bootstrap: google_service_account.github_plan + IAM</t>
        </is>
      </c>
      <c r="C8" s="12" t="inlineStr">
        <is>
          <t>Service account</t>
        </is>
      </c>
      <c r="D8" s="12" t="inlineStr">
        <is>
          <t>weekend2-prod-gh-plan</t>
        </is>
      </c>
      <c r="E8" s="12" t="inlineStr">
        <is>
          <t>bootstrap</t>
        </is>
      </c>
      <c r="F8" s="12" t="inlineStr">
        <is>
          <t>global</t>
        </is>
      </c>
      <c r="G8" s="12" t="inlineStr">
        <is>
          <t>Read-only terraform plan in CI</t>
        </is>
      </c>
      <c r="H8" s="12" t="inlineStr">
        <is>
          <t>Viewer + Security Reviewer; state objectViewer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5</v>
      </c>
    </row>
    <row r="9">
      <c r="A9" s="12" t="n">
        <v>8</v>
      </c>
      <c r="B9" s="12" t="inlineStr">
        <is>
          <t>module.network.google_compute_network.this</t>
        </is>
      </c>
      <c r="C9" s="12" t="inlineStr">
        <is>
          <t>VPC</t>
        </is>
      </c>
      <c r="D9" s="12" t="inlineStr">
        <is>
          <t>weekend2-prod-vpc</t>
        </is>
      </c>
      <c r="E9" s="12" t="inlineStr">
        <is>
          <t>network</t>
        </is>
      </c>
      <c r="F9" s="12" t="inlineStr">
        <is>
          <t>global</t>
        </is>
      </c>
      <c r="G9" s="12" t="inlineStr">
        <is>
          <t>Private network</t>
        </is>
      </c>
      <c r="H9" s="12" t="inlineStr">
        <is>
          <t>Custom mode; regional routing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2</v>
      </c>
    </row>
    <row r="10">
      <c r="A10" s="12" t="n">
        <v>9</v>
      </c>
      <c r="B10" s="12" t="inlineStr">
        <is>
          <t>module.network.google_compute_subnetwork.node</t>
        </is>
      </c>
      <c r="C10" s="12" t="inlineStr">
        <is>
          <t>Subnet</t>
        </is>
      </c>
      <c r="D10" s="12" t="inlineStr">
        <is>
          <t>weekend2-prod-node</t>
        </is>
      </c>
      <c r="E10" s="12" t="inlineStr">
        <is>
          <t>network</t>
        </is>
      </c>
      <c r="F10" s="12" t="inlineStr">
        <is>
          <t>asia-south1</t>
        </is>
      </c>
      <c r="G10" s="12" t="inlineStr">
        <is>
          <t>Entry node only</t>
        </is>
      </c>
      <c r="H10" s="12" t="inlineStr">
        <is>
          <t>10.20.0.0/24; Private Google Access</t>
        </is>
      </c>
      <c r="I10" s="26" t="n">
        <v>0</v>
      </c>
      <c r="J10" s="27">
        <f>I10*Cost!$B$15</f>
        <v/>
      </c>
      <c r="K10" s="12" t="inlineStr">
        <is>
          <t>No charge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2</v>
      </c>
    </row>
    <row r="11">
      <c r="A11" s="12" t="n">
        <v>10</v>
      </c>
      <c r="B11" s="12" t="inlineStr">
        <is>
          <t>module.network.google_compute_router.this</t>
        </is>
      </c>
      <c r="C11" s="12" t="inlineStr">
        <is>
          <t>Cloud Router</t>
        </is>
      </c>
      <c r="D11" s="12" t="inlineStr">
        <is>
          <t>weekend2-prod-router</t>
        </is>
      </c>
      <c r="E11" s="12" t="inlineStr">
        <is>
          <t>network</t>
        </is>
      </c>
      <c r="F11" s="12" t="inlineStr">
        <is>
          <t>asia-south1</t>
        </is>
      </c>
      <c r="G11" s="12" t="inlineStr">
        <is>
          <t>Hosts Cloud NAT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2</v>
      </c>
    </row>
    <row r="12">
      <c r="A12" s="12" t="n">
        <v>11</v>
      </c>
      <c r="B12" s="12" t="inlineStr">
        <is>
          <t>module.network.google_compute_router_nat.this</t>
        </is>
      </c>
      <c r="C12" s="12" t="inlineStr">
        <is>
          <t>Cloud NAT</t>
        </is>
      </c>
      <c r="D12" s="12" t="inlineStr">
        <is>
          <t>weekend2-prod-nat</t>
        </is>
      </c>
      <c r="E12" s="12" t="inlineStr">
        <is>
          <t>network</t>
        </is>
      </c>
      <c r="F12" s="12" t="inlineStr">
        <is>
          <t>asia-south1</t>
        </is>
      </c>
      <c r="G12" s="12" t="inlineStr">
        <is>
          <t>Egress for the node (no external IP)</t>
        </is>
      </c>
      <c r="H12" s="12" t="inlineStr">
        <is>
          <t>Endpoint-independent mapping; error logs</t>
        </is>
      </c>
      <c r="I12" s="26" t="n">
        <v>1.07</v>
      </c>
      <c r="J12" s="27">
        <f>I12*Cost!$B$15</f>
        <v/>
      </c>
      <c r="K12" s="12" t="inlineStr">
        <is>
          <t>$0.0014/VM-h × 730 + ~1 GiB × $0.045</t>
        </is>
      </c>
      <c r="L12" s="13" t="inlineStr">
        <is>
          <t>Search (cloud.google.com/nat)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module.network.google_compute_firewall.iap_ssh[0]</t>
        </is>
      </c>
      <c r="C13" s="12" t="inlineStr">
        <is>
          <t>Firewall rule</t>
        </is>
      </c>
      <c r="D13" s="12" t="inlineStr">
        <is>
          <t>weekend2-prod-allow-iap-ssh</t>
        </is>
      </c>
      <c r="E13" s="12" t="inlineStr">
        <is>
          <t>network</t>
        </is>
      </c>
      <c r="F13" s="12" t="inlineStr">
        <is>
          <t>global</t>
        </is>
      </c>
      <c r="G13" s="12" t="inlineStr">
        <is>
          <t>Admin SSH via IAP only</t>
        </is>
      </c>
      <c r="H13" s="12" t="inlineStr">
        <is>
          <t>tcp:22 from 35.235.240.0/20 → tag entry-node</t>
        </is>
      </c>
      <c r="I13" s="26" t="n">
        <v>0</v>
      </c>
      <c r="J13" s="27">
        <f>I13*Cost!$B$15</f>
        <v/>
      </c>
      <c r="K13" s="12" t="inlineStr">
        <is>
          <t>No charge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module.secrets.google_secret_manager_secret.this["tailscale/authkey"]</t>
        </is>
      </c>
      <c r="C14" s="12" t="inlineStr">
        <is>
          <t>Secret</t>
        </is>
      </c>
      <c r="D14" s="12" t="inlineStr">
        <is>
          <t>weekend2-prod-tailscale-authkey</t>
        </is>
      </c>
      <c r="E14" s="12" t="inlineStr">
        <is>
          <t>secrets</t>
        </is>
      </c>
      <c r="F14" s="12" t="inlineStr">
        <is>
          <t>asia-south1</t>
        </is>
      </c>
      <c r="G14" s="12" t="inlineStr">
        <is>
          <t>Entry node joins tailnet (P4)</t>
        </is>
      </c>
      <c r="H14" s="12" t="inlineStr">
        <is>
          <t>Single region; CMEK</t>
        </is>
      </c>
      <c r="I14" s="26" t="n">
        <v>0</v>
      </c>
      <c r="J14" s="27">
        <f>I14*Cost!$B$15</f>
        <v/>
      </c>
      <c r="K14" s="12" t="inlineStr">
        <is>
          <t>6 active versions free per billing account</t>
        </is>
      </c>
      <c r="L14" s="13" t="inlineStr">
        <is>
          <t>Search</t>
        </is>
      </c>
      <c r="M14" s="13" t="inlineStr">
        <is>
          <t>Drafted (not applied)</t>
        </is>
      </c>
      <c r="N14" s="12" t="n">
        <v>2</v>
      </c>
    </row>
    <row r="15">
      <c r="A15" s="12" t="n">
        <v>14</v>
      </c>
      <c r="B15" s="12" t="inlineStr">
        <is>
          <t>module.secrets.google_secret_manager_secret.this["app/session-signing-key"]</t>
        </is>
      </c>
      <c r="C15" s="12" t="inlineStr">
        <is>
          <t>Secret</t>
        </is>
      </c>
      <c r="D15" s="12" t="inlineStr">
        <is>
          <t>weekend2-prod-app-session-signing-key</t>
        </is>
      </c>
      <c r="E15" s="12" t="inlineStr">
        <is>
          <t>secrets</t>
        </is>
      </c>
      <c r="F15" s="12" t="inlineStr">
        <is>
          <t>asia-south1</t>
        </is>
      </c>
      <c r="G15" s="12" t="inlineStr">
        <is>
          <t>Passkey session cookies</t>
        </is>
      </c>
      <c r="H15" s="12" t="inlineStr">
        <is>
          <t>Single region; CMEK</t>
        </is>
      </c>
      <c r="I15" s="26" t="n">
        <v>0</v>
      </c>
      <c r="J15" s="27">
        <f>I15*Cost!$B$15</f>
        <v/>
      </c>
      <c r="K15" s="12" t="inlineStr">
        <is>
          <t>Within free versions</t>
        </is>
      </c>
      <c r="L15" s="13" t="inlineStr">
        <is>
          <t>Search</t>
        </is>
      </c>
      <c r="M15" s="13" t="inlineStr">
        <is>
          <t>Drafted (not applied)</t>
        </is>
      </c>
      <c r="N15" s="12" t="n">
        <v>2</v>
      </c>
    </row>
    <row r="16">
      <c r="A16" s="12" t="n">
        <v>15</v>
      </c>
      <c r="B16" s="12" t="inlineStr">
        <is>
          <t>module.secrets.google_secret_manager_secret.this["connectors/google-oauth-client"]</t>
        </is>
      </c>
      <c r="C16" s="12" t="inlineStr">
        <is>
          <t>Secret</t>
        </is>
      </c>
      <c r="D16" s="12" t="inlineStr">
        <is>
          <t>weekend2-prod-connectors-google-oauth-client</t>
        </is>
      </c>
      <c r="E16" s="12" t="inlineStr">
        <is>
          <t>secrets</t>
        </is>
      </c>
      <c r="F16" s="12" t="inlineStr">
        <is>
          <t>asia-south1</t>
        </is>
      </c>
      <c r="G16" s="12" t="inlineStr">
        <is>
          <t>Calendar/Gmail connectors</t>
        </is>
      </c>
      <c r="H16" s="12" t="inlineStr">
        <is>
          <t>Value set in Phase 3</t>
        </is>
      </c>
      <c r="I16" s="26" t="n">
        <v>0</v>
      </c>
      <c r="J16" s="27">
        <f>I16*Cost!$B$15</f>
        <v/>
      </c>
      <c r="K16" s="12" t="inlineStr">
        <is>
          <t>Within free versions</t>
        </is>
      </c>
      <c r="L16" s="13" t="inlineStr">
        <is>
          <t>Search</t>
        </is>
      </c>
      <c r="M16" s="13" t="inlineStr">
        <is>
          <t>Drafted (not applied)</t>
        </is>
      </c>
      <c r="N16" s="12" t="n">
        <v>3</v>
      </c>
    </row>
    <row r="17">
      <c r="A17" s="12" t="n">
        <v>16</v>
      </c>
      <c r="B17" s="12" t="inlineStr">
        <is>
          <t>module.database.google_firestore_database.this</t>
        </is>
      </c>
      <c r="C17" s="12" t="inlineStr">
        <is>
          <t>Firestore (Native)</t>
        </is>
      </c>
      <c r="D17" s="12" t="inlineStr">
        <is>
          <t>(default)</t>
        </is>
      </c>
      <c r="E17" s="12" t="inlineStr">
        <is>
          <t>database</t>
        </is>
      </c>
      <c r="F17" s="12" t="inlineStr">
        <is>
          <t>asia-south1</t>
        </is>
      </c>
      <c r="G17" s="12" t="inlineStr">
        <is>
          <t>Conversations, memories (vector search)</t>
        </is>
      </c>
      <c r="H17" s="12" t="inlineStr">
        <is>
          <t>CMEK; delete protection; optimistic concurrency</t>
        </is>
      </c>
      <c r="I17" s="26" t="n">
        <v>0</v>
      </c>
      <c r="J17" s="27">
        <f>I17*Cost!$B$15</f>
        <v/>
      </c>
      <c r="K17" s="12" t="inlineStr">
        <is>
          <t>Free quota: 1 GiB stored, 50k reads/20k writes per day</t>
        </is>
      </c>
      <c r="L17" s="13" t="inlineStr">
        <is>
          <t>Search (firebase.google.com)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module.database.google_firestore_backup_schedule.daily[0]</t>
        </is>
      </c>
      <c r="C18" s="12" t="inlineStr">
        <is>
          <t>Firestore backup schedule</t>
        </is>
      </c>
      <c r="D18" s="12" t="inlineStr">
        <is>
          <t>daily</t>
        </is>
      </c>
      <c r="E18" s="12" t="inlineStr">
        <is>
          <t>database</t>
        </is>
      </c>
      <c r="F18" s="12" t="inlineStr">
        <is>
          <t>asia-south1</t>
        </is>
      </c>
      <c r="G18" s="12" t="inlineStr">
        <is>
          <t>Daily backups (P10)</t>
        </is>
      </c>
      <c r="H18" s="12" t="inlineStr">
        <is>
          <t>7-day retention</t>
        </is>
      </c>
      <c r="I18" s="26" t="n">
        <v>0.05</v>
      </c>
      <c r="J18" s="27">
        <f>I18*Cost!$B$15</f>
        <v/>
      </c>
      <c r="K18" s="12" t="inlineStr">
        <is>
          <t>Backup storage for &lt; 1 GiB</t>
        </is>
      </c>
      <c r="L18" s="13" t="inlineStr">
        <is>
          <t>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module.backup.google_storage_bucket.this</t>
        </is>
      </c>
      <c r="C19" s="12" t="inlineStr">
        <is>
          <t>GCS bucket</t>
        </is>
      </c>
      <c r="D19" s="12" t="inlineStr">
        <is>
          <t>&lt;project-id&gt;-backups</t>
        </is>
      </c>
      <c r="E19" s="12" t="inlineStr">
        <is>
          <t>backup</t>
        </is>
      </c>
      <c r="F19" s="12" t="inlineStr">
        <is>
          <t>asia-south1</t>
        </is>
      </c>
      <c r="G19" s="12" t="inlineStr">
        <is>
          <t>Exports, audit copies, restore drills</t>
        </is>
      </c>
      <c r="H19" s="12" t="inlineStr">
        <is>
          <t>CMEK; retention 35 d (unlocked); soft delete 7 d; lifecycle 35/365/730 d</t>
        </is>
      </c>
      <c r="I19" s="26" t="n">
        <v>0.4</v>
      </c>
      <c r="J19" s="27">
        <f>I19*Cost!$B$15</f>
        <v/>
      </c>
      <c r="K19" s="12" t="inlineStr">
        <is>
          <t>~15 GB Standard ≈ $0.023/GB-mo + soft delete</t>
        </is>
      </c>
      <c r="L19" s="13" t="inlineStr">
        <is>
          <t>Not verified</t>
        </is>
      </c>
      <c r="M19" s="13" t="inlineStr">
        <is>
          <t>Drafted (not applied)</t>
        </is>
      </c>
      <c r="N19" s="12" t="n">
        <v>3</v>
      </c>
    </row>
    <row r="20">
      <c r="A20" s="12" t="n">
        <v>19</v>
      </c>
      <c r="B20" s="12" t="inlineStr">
        <is>
          <t>module.app.google_service_account.api / worker / invoker</t>
        </is>
      </c>
      <c r="C20" s="12" t="inlineStr">
        <is>
          <t>Service accounts</t>
        </is>
      </c>
      <c r="D20" s="12" t="inlineStr">
        <is>
          <t>weekend2-prod-api / -worker / -invoker</t>
        </is>
      </c>
      <c r="E20" s="12" t="inlineStr">
        <is>
          <t>app</t>
        </is>
      </c>
      <c r="F20" s="12" t="inlineStr">
        <is>
          <t>global</t>
        </is>
      </c>
      <c r="G20" s="12" t="inlineStr">
        <is>
          <t>Runtime identities</t>
        </is>
      </c>
      <c r="H20" s="12" t="inlineStr">
        <is>
          <t>No JSON keys</t>
        </is>
      </c>
      <c r="I20" s="26" t="n">
        <v>0</v>
      </c>
      <c r="J20" s="27">
        <f>I20*Cost!$B$15</f>
        <v/>
      </c>
      <c r="K20" s="12" t="inlineStr">
        <is>
          <t>No charge</t>
        </is>
      </c>
      <c r="L20" s="13" t="inlineStr">
        <is>
          <t>Verified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 IAM (project, secret, bucket, queue, run.invoker)</t>
        </is>
      </c>
      <c r="C21" s="12" t="inlineStr">
        <is>
          <t>IAM bindings</t>
        </is>
      </c>
      <c r="D21" s="12" t="inlineStr">
        <is>
          <t>datastore.user, aiplatform.user, secretAccessor, objectCreator/Viewer, enqueuer, run.invoker</t>
        </is>
      </c>
      <c r="E21" s="12" t="inlineStr">
        <is>
          <t>app</t>
        </is>
      </c>
      <c r="F21" s="12" t="inlineStr">
        <is>
          <t>asia-south1</t>
        </is>
      </c>
      <c r="G21" s="12" t="inlineStr">
        <is>
          <t>Least privilege per service</t>
        </is>
      </c>
      <c r="H21" s="12" t="inlineStr">
        <is>
          <t>Worker cannot delete backups</t>
        </is>
      </c>
      <c r="I21" s="26" t="n">
        <v>0</v>
      </c>
      <c r="J21" s="27">
        <f>I21*Cost!$B$15</f>
        <v/>
      </c>
      <c r="K21" s="12" t="inlineStr">
        <is>
          <t>No charge</t>
        </is>
      </c>
      <c r="L21" s="13" t="inlineStr">
        <is>
          <t>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module.app.google_cloud_tasks_queue.reminders</t>
        </is>
      </c>
      <c r="C22" s="12" t="inlineStr">
        <is>
          <t>Cloud Tasks queue</t>
        </is>
      </c>
      <c r="D22" s="12" t="inlineStr">
        <is>
          <t>weekend2-prod-reminders</t>
        </is>
      </c>
      <c r="E22" s="12" t="inlineStr">
        <is>
          <t>app</t>
        </is>
      </c>
      <c r="F22" s="12" t="inlineStr">
        <is>
          <t>asia-south1</t>
        </is>
      </c>
      <c r="G22" s="12" t="inlineStr">
        <is>
          <t>One task per reminder (no polling)</t>
        </is>
      </c>
      <c r="H22" s="12" t="inlineStr">
        <is>
          <t>1 dispatch/s; 5 retries</t>
        </is>
      </c>
      <c r="I22" s="26" t="n">
        <v>0</v>
      </c>
      <c r="J22" s="27">
        <f>I22*Cost!$B$15</f>
        <v/>
      </c>
      <c r="K22" s="12" t="inlineStr">
        <is>
          <t>First 1M operations free</t>
        </is>
      </c>
      <c r="L22" s="13" t="inlineStr">
        <is>
          <t>Search</t>
        </is>
      </c>
      <c r="M22" s="13" t="inlineStr">
        <is>
          <t>Drafted (not applied)</t>
        </is>
      </c>
      <c r="N22" s="12" t="n">
        <v>2</v>
      </c>
    </row>
    <row r="23">
      <c r="A23" s="12" t="n">
        <v>22</v>
      </c>
      <c r="B23" s="12" t="inlineStr">
        <is>
          <t>module.app.google_cloud_run_v2_service.api</t>
        </is>
      </c>
      <c r="C23" s="12" t="inlineStr">
        <is>
          <t>Cloud Run service</t>
        </is>
      </c>
      <c r="D23" s="12" t="inlineStr">
        <is>
          <t>weekend2-prod-api</t>
        </is>
      </c>
      <c r="E23" s="12" t="inlineStr">
        <is>
          <t>app</t>
        </is>
      </c>
      <c r="F23" s="12" t="inlineStr">
        <is>
          <t>asia-south1</t>
        </is>
      </c>
      <c r="G23" s="12" t="inlineStr">
        <is>
          <t>Chat, voice, memory API</t>
        </is>
      </c>
      <c r="H23" s="12" t="inlineStr">
        <is>
          <t>Internal ingress; IAM invoke; 0–2 instances; 1 vCPU / 512 MiB; cpu_idle</t>
        </is>
      </c>
      <c r="I23" s="26" t="n">
        <v>0</v>
      </c>
      <c r="J23" s="27">
        <f>I23*Cost!$B$15</f>
        <v/>
      </c>
      <c r="K23" s="12" t="inlineStr">
        <is>
          <t>Free tier 180k vCPU-s, 360k GiB-s, 2M req per billing account; asia-south1 = Tier 1</t>
        </is>
      </c>
      <c r="L23" s="13" t="inlineStr">
        <is>
          <t>Search (2 sources)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module.app.google_cloud_run_v2_service.worker</t>
        </is>
      </c>
      <c r="C24" s="12" t="inlineStr">
        <is>
          <t>Cloud Run service</t>
        </is>
      </c>
      <c r="D24" s="12" t="inlineStr">
        <is>
          <t>weekend2-prod-worker</t>
        </is>
      </c>
      <c r="E24" s="12" t="inlineStr">
        <is>
          <t>app</t>
        </is>
      </c>
      <c r="F24" s="12" t="inlineStr">
        <is>
          <t>asia-south1</t>
        </is>
      </c>
      <c r="G24" s="12" t="inlineStr">
        <is>
          <t>Scheduled jobs, reminders</t>
        </is>
      </c>
      <c r="H24" s="12" t="inlineStr">
        <is>
          <t>Internal ingress; invoker SA only; 0–1 instances</t>
        </is>
      </c>
      <c r="I24" s="26" t="n">
        <v>0</v>
      </c>
      <c r="J24" s="27">
        <f>I24*Cost!$B$15</f>
        <v/>
      </c>
      <c r="K24" s="12" t="inlineStr">
        <is>
          <t>Within free tier</t>
        </is>
      </c>
      <c r="L24" s="13" t="inlineStr">
        <is>
          <t>Search</t>
        </is>
      </c>
      <c r="M24" s="13" t="inlineStr">
        <is>
          <t>Drafted (not applied)</t>
        </is>
      </c>
      <c r="N24" s="12" t="n">
        <v>3</v>
      </c>
    </row>
    <row r="25">
      <c r="A25" s="12" t="n">
        <v>24</v>
      </c>
      <c r="B25" s="12" t="inlineStr">
        <is>
          <t>module.scheduler.google_cloud_scheduler_job.daily["retention"]</t>
        </is>
      </c>
      <c r="C25" s="12" t="inlineStr">
        <is>
          <t>Cloud Scheduler job</t>
        </is>
      </c>
      <c r="D25" s="12" t="inlineStr">
        <is>
          <t>weekend2-prod-retention-daily</t>
        </is>
      </c>
      <c r="E25" s="12" t="inlineStr">
        <is>
          <t>scheduler</t>
        </is>
      </c>
      <c r="F25" s="12" t="inlineStr">
        <is>
          <t>asia-south1</t>
        </is>
      </c>
      <c r="G25" s="12" t="inlineStr">
        <is>
          <t>Retention cleanup (P5)</t>
        </is>
      </c>
      <c r="H25" s="12" t="inlineStr">
        <is>
          <t>0 3 * * * Asia/Kolkata; OIDC</t>
        </is>
      </c>
      <c r="I25" s="26" t="n">
        <v>0</v>
      </c>
      <c r="J25" s="27">
        <f>I25*Cost!$B$15</f>
        <v/>
      </c>
      <c r="K25" s="12" t="inlineStr">
        <is>
          <t>3 free jobs per billing account</t>
        </is>
      </c>
      <c r="L25" s="13" t="inlineStr">
        <is>
          <t>Search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module.scheduler.google_cloud_scheduler_job.daily["export"]</t>
        </is>
      </c>
      <c r="C26" s="12" t="inlineStr">
        <is>
          <t>Cloud Scheduler job</t>
        </is>
      </c>
      <c r="D26" s="12" t="inlineStr">
        <is>
          <t>weekend2-prod-export-daily</t>
        </is>
      </c>
      <c r="E26" s="12" t="inlineStr">
        <is>
          <t>scheduler</t>
        </is>
      </c>
      <c r="F26" s="12" t="inlineStr">
        <is>
          <t>asia-south1</t>
        </is>
      </c>
      <c r="G26" s="12" t="inlineStr">
        <is>
          <t>Encrypted export (P6/P10)</t>
        </is>
      </c>
      <c r="H26" s="12" t="inlineStr">
        <is>
          <t>30 3 * * * Asia/Kolkata; OIDC</t>
        </is>
      </c>
      <c r="I26" s="26" t="n">
        <v>0</v>
      </c>
      <c r="J26" s="27">
        <f>I26*Cost!$B$15</f>
        <v/>
      </c>
      <c r="K26" s="12" t="inlineStr">
        <is>
          <t>3 free jobs (dev + prod = 4 → one at $0.10)</t>
        </is>
      </c>
      <c r="L26" s="13" t="inlineStr">
        <is>
          <t>Search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module.entry_node.google_service_account.entry + IAM</t>
        </is>
      </c>
      <c r="C27" s="12" t="inlineStr">
        <is>
          <t>Service account</t>
        </is>
      </c>
      <c r="D27" s="12" t="inlineStr">
        <is>
          <t>weekend2-prod-entry</t>
        </is>
      </c>
      <c r="E27" s="12" t="inlineStr">
        <is>
          <t>entry_node</t>
        </is>
      </c>
      <c r="F27" s="12" t="inlineStr">
        <is>
          <t>global</t>
        </is>
      </c>
      <c r="G27" s="12" t="inlineStr">
        <is>
          <t>Node identity</t>
        </is>
      </c>
      <c r="H27" s="12" t="inlineStr">
        <is>
          <t>Log/metric writer; read authkey; invoke api</t>
        </is>
      </c>
      <c r="I27" s="26" t="n">
        <v>0</v>
      </c>
      <c r="J27" s="27">
        <f>I27*Cost!$B$15</f>
        <v/>
      </c>
      <c r="K27" s="12" t="inlineStr">
        <is>
          <t>No charge</t>
        </is>
      </c>
      <c r="L27" s="13" t="inlineStr">
        <is>
          <t>Verified</t>
        </is>
      </c>
      <c r="M27" s="13" t="inlineStr">
        <is>
          <t>Drafted (not applied)</t>
        </is>
      </c>
      <c r="N27" s="12" t="n">
        <v>2</v>
      </c>
    </row>
    <row r="28">
      <c r="A28" s="12" t="n">
        <v>27</v>
      </c>
      <c r="B28" s="12" t="inlineStr">
        <is>
          <t>module.entry_node.google_compute_instance.this</t>
        </is>
      </c>
      <c r="C28" s="12" t="inlineStr">
        <is>
          <t>Compute Engine e2-micro</t>
        </is>
      </c>
      <c r="D28" s="12" t="inlineStr">
        <is>
          <t>weekend2-prod-entry (tailnet: node-a1)</t>
        </is>
      </c>
      <c r="E28" s="12" t="inlineStr">
        <is>
          <t>entry_node</t>
        </is>
      </c>
      <c r="F28" s="12" t="inlineStr">
        <is>
          <t>asia-south1-a</t>
        </is>
      </c>
      <c r="G28" s="12" t="inlineStr">
        <is>
          <t>Only server: tailnet entry + ID-token forwarder</t>
        </is>
      </c>
      <c r="H28" s="12" t="inlineStr">
        <is>
          <t>Debian 12; Shielded VM; OS Login; no external IP</t>
        </is>
      </c>
      <c r="I28" s="26" t="n">
        <v>7.37</v>
      </c>
      <c r="J28" s="27">
        <f>I28*Cost!$B$15</f>
        <v/>
      </c>
      <c r="K28" s="12" t="inlineStr">
        <is>
          <t>$0.0101/h × 730 (gcloud-compute.com, data 2026-09-27)</t>
        </is>
      </c>
      <c r="L28" s="13" t="inlineStr">
        <is>
          <t>Third-party catalogue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(boot_disk of google_compute_instance.this)</t>
        </is>
      </c>
      <c r="C29" s="12" t="inlineStr">
        <is>
          <t>Persistent disk pd-balanced 10 GB</t>
        </is>
      </c>
      <c r="D29" s="12" t="inlineStr">
        <is>
          <t>—</t>
        </is>
      </c>
      <c r="E29" s="12" t="inlineStr">
        <is>
          <t>entry_node</t>
        </is>
      </c>
      <c r="F29" s="12" t="inlineStr">
        <is>
          <t>asia-south1-a</t>
        </is>
      </c>
      <c r="G29" s="12" t="inlineStr">
        <is>
          <t>Root disk</t>
        </is>
      </c>
      <c r="H29" s="12" t="inlineStr">
        <is>
          <t>CMEK</t>
        </is>
      </c>
      <c r="I29" s="26" t="n">
        <v>1.1</v>
      </c>
      <c r="J29" s="27">
        <f>I29*Cost!$B$15</f>
        <v/>
      </c>
      <c r="K29" s="12" t="inlineStr">
        <is>
          <t>~$0.11/GB-month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2</v>
      </c>
    </row>
    <row r="30">
      <c r="A30" s="12" t="n">
        <v>29</v>
      </c>
      <c r="B30" s="12" t="inlineStr">
        <is>
          <t>module.budget.google_monitoring_notification_channel.email</t>
        </is>
      </c>
      <c r="C30" s="12" t="inlineStr">
        <is>
          <t>Notification channel</t>
        </is>
      </c>
      <c r="D30" s="12" t="inlineStr">
        <is>
          <t>weekend2-prod budget alerts</t>
        </is>
      </c>
      <c r="E30" s="12" t="inlineStr">
        <is>
          <t>budget</t>
        </is>
      </c>
      <c r="F30" s="12" t="inlineStr">
        <is>
          <t>global</t>
        </is>
      </c>
      <c r="G30" s="12" t="inlineStr">
        <is>
          <t>Budget e-mails</t>
        </is>
      </c>
      <c r="H30" s="12" t="inlineStr">
        <is>
          <t>E-mail from secret</t>
        </is>
      </c>
      <c r="I30" s="26" t="n">
        <v>0</v>
      </c>
      <c r="J30" s="27">
        <f>I30*Cost!$B$15</f>
        <v/>
      </c>
      <c r="K30" s="12" t="inlineStr">
        <is>
          <t>No charge</t>
        </is>
      </c>
      <c r="L30" s="13" t="inlineStr">
        <is>
          <t>Verified</t>
        </is>
      </c>
      <c r="M30" s="13" t="inlineStr">
        <is>
          <t>Drafted (not applied)</t>
        </is>
      </c>
      <c r="N30" s="12" t="n">
        <v>1</v>
      </c>
    </row>
    <row r="31">
      <c r="A31" s="12" t="n">
        <v>30</v>
      </c>
      <c r="B31" s="12" t="inlineStr">
        <is>
          <t>module.budget.google_billing_budget.this</t>
        </is>
      </c>
      <c r="C31" s="12" t="inlineStr">
        <is>
          <t>Cloud Billing budget</t>
        </is>
      </c>
      <c r="D31" s="12" t="inlineStr">
        <is>
          <t>weekend2-prod-monthly</t>
        </is>
      </c>
      <c r="E31" s="12" t="inlineStr">
        <is>
          <t>budget</t>
        </is>
      </c>
      <c r="F31" s="12" t="inlineStr">
        <is>
          <t>billing account</t>
        </is>
      </c>
      <c r="G31" s="12" t="inlineStr">
        <is>
          <t>Cost alerts</t>
        </is>
      </c>
      <c r="H31" s="12" t="inlineStr">
        <is>
          <t>₹4,237 before tax (≈ ₹5,000 incl. GST); 50/80/100% + forecast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1</v>
      </c>
    </row>
    <row r="32">
      <c r="A32" s="12" t="n">
        <v>31</v>
      </c>
      <c r="B32" s="12" t="inlineStr">
        <is>
          <t>(no resource — IAM only)</t>
        </is>
      </c>
      <c r="C32" s="12" t="inlineStr">
        <is>
          <t>Vertex AI usage</t>
        </is>
      </c>
      <c r="D32" s="12" t="inlineStr">
        <is>
          <t>Claude Haiku 4.5 / Sonnet 5, global endpoint</t>
        </is>
      </c>
      <c r="E32" s="12" t="inlineStr">
        <is>
          <t>app</t>
        </is>
      </c>
      <c r="F32" s="12" t="inlineStr">
        <is>
          <t>global (🔓)</t>
        </is>
      </c>
      <c r="G32" s="12" t="inlineStr">
        <is>
          <t>LLM inference</t>
        </is>
      </c>
      <c r="H32" s="12" t="inlineStr">
        <is>
          <t>No regional premium on global endpoint</t>
        </is>
      </c>
      <c r="I32" s="26" t="n">
        <v>14.45</v>
      </c>
      <c r="J32" s="27">
        <f>I32*Cost!$B$15</f>
        <v/>
      </c>
      <c r="K32" s="12" t="inlineStr">
        <is>
          <t>DESIGN.md §21.1 (expected 3,000 turns)</t>
        </is>
      </c>
      <c r="L32" s="13" t="inlineStr">
        <is>
          <t>Calculated</t>
        </is>
      </c>
      <c r="M32" s="13" t="inlineStr">
        <is>
          <t>Drafted (not applied)</t>
        </is>
      </c>
      <c r="N32" s="12" t="n">
        <v>1</v>
      </c>
    </row>
    <row r="33">
      <c r="A33" s="12" t="n">
        <v>32</v>
      </c>
      <c r="B33" s="12" t="inlineStr">
        <is>
          <t>(no resource)</t>
        </is>
      </c>
      <c r="C33" s="12" t="inlineStr">
        <is>
          <t>Cloud Logging</t>
        </is>
      </c>
      <c r="D33" s="12" t="inlineStr">
        <is>
          <t>_Default bucket</t>
        </is>
      </c>
      <c r="E33" s="12" t="inlineStr">
        <is>
          <t>—</t>
        </is>
      </c>
      <c r="F33" s="12" t="inlineStr">
        <is>
          <t>asia-south1</t>
        </is>
      </c>
      <c r="G33" s="12" t="inlineStr">
        <is>
          <t>Logs (no message content)</t>
        </is>
      </c>
      <c r="H33" s="12" t="inlineStr">
        <is>
          <t>30-day retention</t>
        </is>
      </c>
      <c r="I33" s="26" t="n">
        <v>0</v>
      </c>
      <c r="J33" s="27">
        <f>I33*Cost!$B$15</f>
        <v/>
      </c>
      <c r="K33" s="12" t="inlineStr">
        <is>
          <t>50 GiB/project/month free</t>
        </is>
      </c>
      <c r="L33" s="13" t="inlineStr">
        <is>
          <t>Search</t>
        </is>
      </c>
      <c r="M33" s="13" t="inlineStr">
        <is>
          <t>Drafted (not applied)</t>
        </is>
      </c>
      <c r="N33" s="12" t="n">
        <v>1</v>
      </c>
    </row>
    <row r="34">
      <c r="A34" s="12" t="inlineStr">
        <is>
          <t>GST</t>
        </is>
      </c>
      <c r="B34" s="12" t="inlineStr">
        <is>
          <t>(no resource — tax on the bill)</t>
        </is>
      </c>
      <c r="C34" s="12" t="inlineStr">
        <is>
          <t>GST (IGST 18%)</t>
        </is>
      </c>
      <c r="D34" s="12" t="inlineStr">
        <is>
          <t>Google Cloud India invoice</t>
        </is>
      </c>
      <c r="E34" s="12" t="inlineStr">
        <is>
          <t>—</t>
        </is>
      </c>
      <c r="F34" s="12" t="inlineStr">
        <is>
          <t>India</t>
        </is>
      </c>
      <c r="G34" s="12" t="inlineStr">
        <is>
          <t>Tax added to every Google Cloud charge</t>
        </is>
      </c>
      <c r="H34" s="12" t="inlineStr">
        <is>
          <t>18% of lines 1–32; assumes Google Cloud India billing (check Billing → Account management)</t>
        </is>
      </c>
      <c r="I34" s="26">
        <f>ROUND(SUM(I2:I33)*0.18,2)</f>
        <v/>
      </c>
      <c r="J34" s="27">
        <f>I34*Cost!$B$15</f>
        <v/>
      </c>
      <c r="K34" s="12" t="inlineStr">
        <is>
          <t>Indian GST on cloud services</t>
        </is>
      </c>
      <c r="L34" s="13" t="inlineStr">
        <is>
          <t>Assumption (confirm entity)</t>
        </is>
      </c>
      <c r="M34" s="13" t="inlineStr">
        <is>
          <t>Applies on apply</t>
        </is>
      </c>
      <c r="N34" s="12" t="n">
        <v>1</v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38" t="inlineStr">
        <is>
          <t>Total per month incl. 18% GST (expected use)</t>
        </is>
      </c>
      <c r="I35" s="39">
        <f>SUM(I2:I34)</f>
        <v/>
      </c>
      <c r="J35" s="40">
        <f>SUM(J2:J34)</f>
        <v/>
      </c>
      <c r="K35" s="12" t="n"/>
      <c r="L35" s="13" t="n"/>
      <c r="M35" s="13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38" t="inlineStr">
        <is>
          <t>Budget (₹)</t>
        </is>
      </c>
      <c r="I36" s="26" t="n"/>
      <c r="J36" s="40">
        <f>Cost!B16</f>
        <v/>
      </c>
      <c r="K36" s="12" t="n"/>
      <c r="L36" s="13" t="n"/>
      <c r="M36" s="13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38" t="inlineStr">
        <is>
          <t>Headroom (₹)</t>
        </is>
      </c>
      <c r="I37" s="26" t="n"/>
      <c r="J37" s="40">
        <f>J36-J35</f>
        <v/>
      </c>
      <c r="K37" s="12" t="n"/>
      <c r="L37" s="13" t="n"/>
      <c r="M37" s="13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38" t="inlineStr">
        <is>
          <t>Fits budget?</t>
        </is>
      </c>
      <c r="I38" s="26" t="n"/>
      <c r="J38" s="40">
        <f>IF(J35&lt;=J36,"Yes","No")</f>
        <v/>
      </c>
      <c r="K38" s="12" t="n"/>
      <c r="L38" s="13" t="n"/>
      <c r="M38" s="13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26" t="n"/>
      <c r="J39" s="27" t="n"/>
      <c r="K39" s="12" t="n"/>
      <c r="L39" s="13" t="n"/>
      <c r="M39" s="13" t="n"/>
      <c r="N39" s="12" t="n"/>
    </row>
    <row r="40">
      <c r="A40" s="41" t="inlineStr">
        <is>
          <t>Design: prod on Google Cloud (D4 decided 2026-10-03; D1 shape E2-GCP PROVISIONAL). Source: infra/ (Terraform 1.16.5 / Google provider 8.5.0, validated 2026-10-03). INR uses Cost!B15. Previous AWS lines (tracker ≤ v1.6) are superseded; backup of v1.6 kept outside the repo.</t>
        </is>
      </c>
      <c r="B40" s="12" t="n"/>
      <c r="C40" s="12" t="n"/>
      <c r="D40" s="12" t="n"/>
      <c r="E40" s="12" t="n"/>
      <c r="F40" s="12" t="n"/>
      <c r="G40" s="12" t="n"/>
      <c r="H40" s="12" t="n"/>
      <c r="I40" s="26" t="n"/>
      <c r="J40" s="27" t="n"/>
      <c r="K40" s="12" t="n"/>
      <c r="L40" s="13" t="n"/>
      <c r="M40" s="13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26" t="n"/>
      <c r="J41" s="27" t="n"/>
      <c r="K41" s="12" t="n"/>
      <c r="L41" s="13" t="n"/>
      <c r="M41" s="13" t="n"/>
      <c r="N41" s="12" t="n"/>
    </row>
    <row r="42">
      <c r="H42" s="3" t="n"/>
      <c r="I42" s="33" t="n"/>
      <c r="J42" s="34" t="n"/>
    </row>
    <row r="43">
      <c r="H43" s="3" t="n"/>
      <c r="I43" s="3" t="n"/>
      <c r="J43" s="34" t="n"/>
    </row>
    <row r="44">
      <c r="H44" s="3" t="n"/>
      <c r="I44" s="3" t="n"/>
      <c r="J44" s="34" t="n"/>
    </row>
    <row r="45">
      <c r="H45" s="3" t="n"/>
      <c r="I45" s="3" t="n"/>
      <c r="J45" s="3" t="n"/>
    </row>
    <row r="46"/>
    <row r="47">
      <c r="A47" s="23" t="n"/>
    </row>
  </sheetData>
  <autoFilter ref="A1:N34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30" customWidth="1" min="5" max="5"/>
    <col width="12" customWidth="1" min="6" max="6"/>
    <col width="12" customWidth="1" min="7" max="7"/>
    <col width="52" customWidth="1" min="8" max="8"/>
    <col width="22" customWidth="1" min="9" max="9"/>
    <col width="20" customWidth="1" min="10" max="10"/>
  </cols>
  <sheetData>
    <row r="1">
      <c r="A1" s="11" t="inlineStr">
        <is>
          <t>#</t>
        </is>
      </c>
      <c r="B1" s="11" t="inlineStr">
        <is>
          <t>Resource</t>
        </is>
      </c>
      <c r="C1" s="11" t="inlineStr">
        <is>
          <t>Name (weekend2-dev-*)</t>
        </is>
      </c>
      <c r="D1" s="11" t="inlineStr">
        <is>
          <t>Key settings</t>
        </is>
      </c>
      <c r="E1" s="11" t="inlineStr">
        <is>
          <t>Free tier / trial</t>
        </is>
      </c>
      <c r="F1" s="11" t="inlineStr">
        <is>
          <t>USD / month</t>
        </is>
      </c>
      <c r="G1" s="11" t="inlineStr">
        <is>
          <t>INR / month</t>
        </is>
      </c>
      <c r="H1" s="11" t="inlineStr">
        <is>
          <t>Price basis / source</t>
        </is>
      </c>
      <c r="I1" s="11" t="inlineStr">
        <is>
          <t>Verified?</t>
        </is>
      </c>
      <c r="J1" s="11" t="inlineStr">
        <is>
          <t>Status</t>
        </is>
      </c>
    </row>
    <row r="2">
      <c r="A2" s="12" t="n">
        <v>1</v>
      </c>
      <c r="B2" s="12" t="inlineStr">
        <is>
          <t>Network (VPC, us-central1 subnet, router, IAP-SSH rule)</t>
        </is>
      </c>
      <c r="C2" s="12" t="inlineStr">
        <is>
          <t>weekend2-dev-vpc …</t>
        </is>
      </c>
      <c r="D2" s="12" t="inlineStr">
        <is>
          <t>10.30.0.0/24; Private Google Access; no external IPs</t>
        </is>
      </c>
      <c r="E2" s="12" t="inlineStr">
        <is>
          <t>No charge</t>
        </is>
      </c>
      <c r="F2" s="12" t="n">
        <v>0</v>
      </c>
      <c r="G2" s="12">
        <f>F2*Cost!$B$15</f>
        <v/>
      </c>
      <c r="H2" s="12" t="inlineStr">
        <is>
          <t>No charge for VPC objects</t>
        </is>
      </c>
      <c r="I2" s="12" t="inlineStr">
        <is>
          <t>Verified</t>
        </is>
      </c>
      <c r="J2" s="12" t="inlineStr">
        <is>
          <t>Drafted (not applied)</t>
        </is>
      </c>
    </row>
    <row r="3">
      <c r="A3" s="12" t="n">
        <v>2</v>
      </c>
      <c r="B3" s="12" t="inlineStr">
        <is>
          <t>Cloud NAT (us-central1)</t>
        </is>
      </c>
      <c r="C3" s="12" t="inlineStr">
        <is>
          <t>weekend2-dev-nat</t>
        </is>
      </c>
      <c r="D3" s="12" t="inlineStr">
        <is>
          <t>Egress for the node</t>
        </is>
      </c>
      <c r="E3" s="12" t="inlineStr">
        <is>
          <t>None</t>
        </is>
      </c>
      <c r="F3" s="12">
        <f>ROUND(0.0014*$F$23,2)</f>
        <v/>
      </c>
      <c r="G3" s="12">
        <f>F3*Cost!$B$15</f>
        <v/>
      </c>
      <c r="H3" s="12" t="inlineStr">
        <is>
          <t>$0.0014/VM-h × node hours (F23)</t>
        </is>
      </c>
      <c r="I3" s="12" t="inlineStr">
        <is>
          <t>Search</t>
        </is>
      </c>
      <c r="J3" s="12" t="inlineStr">
        <is>
          <t>Drafted (not applied)</t>
        </is>
      </c>
    </row>
    <row r="4">
      <c r="A4" s="12" t="n">
        <v>3</v>
      </c>
      <c r="B4" s="12" t="inlineStr">
        <is>
          <t>KMS key (bootstrap)</t>
        </is>
      </c>
      <c r="C4" s="12" t="inlineStr">
        <is>
          <t>weekend2-dev/data</t>
        </is>
      </c>
      <c r="D4" s="12" t="inlineStr">
        <is>
          <t>CMEK, asia-south1</t>
        </is>
      </c>
      <c r="E4" s="12" t="inlineStr">
        <is>
          <t>None</t>
        </is>
      </c>
      <c r="F4" s="12" t="n">
        <v>0.1</v>
      </c>
      <c r="G4" s="12">
        <f>F4*Cost!$B$15</f>
        <v/>
      </c>
      <c r="H4" s="12" t="inlineStr">
        <is>
          <t>$0.06/version + ops</t>
        </is>
      </c>
      <c r="I4" s="12" t="inlineStr">
        <is>
          <t>Not verified</t>
        </is>
      </c>
      <c r="J4" s="12" t="inlineStr">
        <is>
          <t>Drafted (not applied)</t>
        </is>
      </c>
    </row>
    <row r="5">
      <c r="A5" s="12" t="n">
        <v>4</v>
      </c>
      <c r="B5" s="12" t="inlineStr">
        <is>
          <t>Secrets ×2</t>
        </is>
      </c>
      <c r="C5" s="12" t="inlineStr">
        <is>
          <t>weekend2-dev-tailscale-authkey, -app-session-signing-key</t>
        </is>
      </c>
      <c r="D5" s="12" t="inlineStr">
        <is>
          <t>Single region; CMEK</t>
        </is>
      </c>
      <c r="E5" s="12" t="inlineStr">
        <is>
          <t>6 versions free</t>
        </is>
      </c>
      <c r="F5" s="12" t="n">
        <v>0</v>
      </c>
      <c r="G5" s="12">
        <f>F5*Cost!$B$15</f>
        <v/>
      </c>
      <c r="H5" s="12" t="inlineStr">
        <is>
          <t>Free tier</t>
        </is>
      </c>
      <c r="I5" s="12" t="inlineStr">
        <is>
          <t>Search</t>
        </is>
      </c>
      <c r="J5" s="12" t="inlineStr">
        <is>
          <t>Drafted (not applied)</t>
        </is>
      </c>
    </row>
    <row r="6">
      <c r="A6" s="12" t="n">
        <v>5</v>
      </c>
      <c r="B6" s="12" t="inlineStr">
        <is>
          <t>Firestore (default)</t>
        </is>
      </c>
      <c r="C6" s="12" t="inlineStr">
        <is>
          <t>(default)</t>
        </is>
      </c>
      <c r="D6" s="12" t="inlineStr">
        <is>
          <t>asia-south1; CMEK; no delete protection; no backups</t>
        </is>
      </c>
      <c r="E6" s="12" t="inlineStr">
        <is>
          <t>1 GiB + 50k reads/day free</t>
        </is>
      </c>
      <c r="F6" s="12" t="n">
        <v>0</v>
      </c>
      <c r="G6" s="12">
        <f>F6*Cost!$B$15</f>
        <v/>
      </c>
      <c r="H6" s="12" t="inlineStr">
        <is>
          <t>Free quota</t>
        </is>
      </c>
      <c r="I6" s="12" t="inlineStr">
        <is>
          <t>Search</t>
        </is>
      </c>
      <c r="J6" s="12" t="inlineStr">
        <is>
          <t>Drafted (not applied)</t>
        </is>
      </c>
    </row>
    <row r="7">
      <c r="A7" s="12" t="n">
        <v>6</v>
      </c>
      <c r="B7" s="12" t="inlineStr">
        <is>
          <t>GCS backup bucket</t>
        </is>
      </c>
      <c r="C7" s="12" t="inlineStr">
        <is>
          <t>&lt;project-id&gt;-backups</t>
        </is>
      </c>
      <c r="D7" s="12" t="inlineStr">
        <is>
          <t>1-day retention; no soft delete; force_destroy</t>
        </is>
      </c>
      <c r="E7" s="12" t="inlineStr">
        <is>
          <t>None (5 GB free only in US regions)</t>
        </is>
      </c>
      <c r="F7" s="12" t="n">
        <v>0.01</v>
      </c>
      <c r="G7" s="12">
        <f>F7*Cost!$B$15</f>
        <v/>
      </c>
      <c r="H7" s="12" t="inlineStr">
        <is>
          <t>Test-sized</t>
        </is>
      </c>
      <c r="I7" s="12" t="inlineStr">
        <is>
          <t>Estimate</t>
        </is>
      </c>
      <c r="J7" s="12" t="inlineStr">
        <is>
          <t>Drafted (not applied)</t>
        </is>
      </c>
    </row>
    <row r="8">
      <c r="A8" s="12" t="n">
        <v>7</v>
      </c>
      <c r="B8" s="12" t="inlineStr">
        <is>
          <t>Cloud Run api + worker</t>
        </is>
      </c>
      <c r="C8" s="12" t="inlineStr">
        <is>
          <t>weekend2-dev-api / -worker</t>
        </is>
      </c>
      <c r="D8" s="12" t="inlineStr">
        <is>
          <t>Internal ingress; max 1 instance; DEBUG</t>
        </is>
      </c>
      <c r="E8" s="12" t="inlineStr">
        <is>
          <t>180k vCPU-s, 2M req free</t>
        </is>
      </c>
      <c r="F8" s="12" t="n">
        <v>0</v>
      </c>
      <c r="G8" s="12">
        <f>F8*Cost!$B$15</f>
        <v/>
      </c>
      <c r="H8" s="12" t="inlineStr">
        <is>
          <t>Free tier</t>
        </is>
      </c>
      <c r="I8" s="12" t="inlineStr">
        <is>
          <t>Search</t>
        </is>
      </c>
      <c r="J8" s="12" t="inlineStr">
        <is>
          <t>Drafted (not applied)</t>
        </is>
      </c>
    </row>
    <row r="9">
      <c r="A9" s="12" t="n">
        <v>8</v>
      </c>
      <c r="B9" s="12" t="inlineStr">
        <is>
          <t>Cloud Scheduler ×2 + Cloud Tasks</t>
        </is>
      </c>
      <c r="C9" s="12" t="inlineStr">
        <is>
          <t>weekend2-dev-*-daily, -reminders</t>
        </is>
      </c>
      <c r="D9" s="12" t="inlineStr">
        <is>
          <t>Asia/Kolkata</t>
        </is>
      </c>
      <c r="E9" s="12" t="inlineStr">
        <is>
          <t>3 jobs free per billing account; 1M task ops free</t>
        </is>
      </c>
      <c r="F9" s="12" t="n">
        <v>0</v>
      </c>
      <c r="G9" s="12">
        <f>F9*Cost!$B$15</f>
        <v/>
      </c>
      <c r="H9" s="12" t="inlineStr">
        <is>
          <t>Free tier (+$0.10 when prod also runs: 4 jobs)</t>
        </is>
      </c>
      <c r="I9" s="12" t="inlineStr">
        <is>
          <t>Search</t>
        </is>
      </c>
      <c r="J9" s="12" t="inlineStr">
        <is>
          <t>Drafted (not applied)</t>
        </is>
      </c>
    </row>
    <row r="10">
      <c r="A10" s="12" t="n">
        <v>9</v>
      </c>
      <c r="B10" s="12" t="inlineStr">
        <is>
          <t>Compute Engine e2-micro (entry node)</t>
        </is>
      </c>
      <c r="C10" s="12" t="inlineStr">
        <is>
          <t>weekend2-dev-entry (tailnet node-d1)</t>
        </is>
      </c>
      <c r="D10" s="12" t="inlineStr">
        <is>
          <t>us-central1-a; Debian 12; Shielded VM; OS Login; no external IP</t>
        </is>
      </c>
      <c r="E10" s="12" t="inlineStr">
        <is>
          <t>Always free: 1 e2-micro in us-central1/east1/west1</t>
        </is>
      </c>
      <c r="F10" s="12" t="n">
        <v>0</v>
      </c>
      <c r="G10" s="12">
        <f>F10*Cost!$B$15</f>
        <v/>
      </c>
      <c r="H10" s="12" t="inlineStr">
        <is>
          <t>cloud.google.com/free</t>
        </is>
      </c>
      <c r="I10" s="12" t="inlineStr">
        <is>
          <t>Search</t>
        </is>
      </c>
      <c r="J10" s="12" t="inlineStr">
        <is>
          <t>Drafted (not applied)</t>
        </is>
      </c>
    </row>
    <row r="11">
      <c r="A11" s="12" t="n">
        <v>10</v>
      </c>
      <c r="B11" s="12" t="inlineStr">
        <is>
          <t>Persistent disk pd-standard 10 GB</t>
        </is>
      </c>
      <c r="C11" s="12" t="inlineStr">
        <is>
          <t>(boot disk)</t>
        </is>
      </c>
      <c r="D11" s="12" t="inlineStr">
        <is>
          <t>Google-managed key (dev holds no personal data)</t>
        </is>
      </c>
      <c r="E11" s="12" t="inlineStr">
        <is>
          <t>30 GB-month pd-standard free</t>
        </is>
      </c>
      <c r="F11" s="12" t="n">
        <v>0</v>
      </c>
      <c r="G11" s="12">
        <f>F11*Cost!$B$15</f>
        <v/>
      </c>
      <c r="H11" s="12" t="inlineStr">
        <is>
          <t>Always free</t>
        </is>
      </c>
      <c r="I11" s="12" t="inlineStr">
        <is>
          <t>Search</t>
        </is>
      </c>
      <c r="J11" s="12" t="inlineStr">
        <is>
          <t>Drafted (not applied)</t>
        </is>
      </c>
    </row>
    <row r="12">
      <c r="A12" s="12" t="n">
        <v>11</v>
      </c>
      <c r="B12" s="12" t="inlineStr">
        <is>
          <t>Cross-region traffic (us-central1 ↔ asia-south1)</t>
        </is>
      </c>
      <c r="C12" s="12" t="inlineStr">
        <is>
          <t>—</t>
        </is>
      </c>
      <c r="D12" s="12" t="inlineStr">
        <is>
          <t>Node → Cloud Run</t>
        </is>
      </c>
      <c r="E12" s="12" t="inlineStr">
        <is>
          <t>None</t>
        </is>
      </c>
      <c r="F12" s="12" t="n">
        <v>0.01</v>
      </c>
      <c r="G12" s="12">
        <f>F12*Cost!$B$15</f>
        <v/>
      </c>
      <c r="H12" s="12" t="inlineStr">
        <is>
          <t>Tiny volume</t>
        </is>
      </c>
      <c r="I12" s="12" t="inlineStr">
        <is>
          <t>Estimate</t>
        </is>
      </c>
      <c r="J12" s="12" t="inlineStr">
        <is>
          <t>Drafted (not applied)</t>
        </is>
      </c>
    </row>
    <row r="13">
      <c r="A13" s="12" t="n">
        <v>12</v>
      </c>
      <c r="B13" s="12" t="inlineStr">
        <is>
          <t>Vertex AI Claude (Haiku 4.5, dev testing)</t>
        </is>
      </c>
      <c r="C13" s="12" t="inlineStr">
        <is>
          <t>—</t>
        </is>
      </c>
      <c r="D13" s="12" t="inlineStr">
        <is>
          <t>Global endpoint; both slots Haiku</t>
        </is>
      </c>
      <c r="E13" s="12" t="inlineStr">
        <is>
          <t>No free tier</t>
        </is>
      </c>
      <c r="F13" s="12">
        <f>$F$24</f>
        <v/>
      </c>
      <c r="G13" s="12">
        <f>F13*Cost!$B$15</f>
        <v/>
      </c>
      <c r="H13" s="12" t="inlineStr">
        <is>
          <t>Estimate (F24)</t>
        </is>
      </c>
      <c r="I13" s="12" t="inlineStr">
        <is>
          <t>Estimate</t>
        </is>
      </c>
      <c r="J13" s="12" t="inlineStr">
        <is>
          <t>Drafted (not applied)</t>
        </is>
      </c>
    </row>
    <row r="14">
      <c r="A14" s="12" t="n">
        <v>13</v>
      </c>
      <c r="B14" s="12" t="inlineStr">
        <is>
          <t>Cloud Billing budget + channel</t>
        </is>
      </c>
      <c r="C14" s="12" t="inlineStr">
        <is>
          <t>weekend2-dev-monthly</t>
        </is>
      </c>
      <c r="D14" s="12" t="inlineStr">
        <is>
          <t>₹850 before tax</t>
        </is>
      </c>
      <c r="E14" s="12" t="inlineStr">
        <is>
          <t>No charge</t>
        </is>
      </c>
      <c r="F14" s="12" t="n">
        <v>0</v>
      </c>
      <c r="G14" s="12">
        <f>F14*Cost!$B$15</f>
        <v/>
      </c>
      <c r="H14" s="12" t="inlineStr">
        <is>
          <t>—</t>
        </is>
      </c>
      <c r="I14" s="12" t="inlineStr">
        <is>
          <t>Verified</t>
        </is>
      </c>
      <c r="J14" s="12" t="inlineStr">
        <is>
          <t>Drafted (not applied)</t>
        </is>
      </c>
    </row>
    <row r="15">
      <c r="A15" s="12" t="inlineStr">
        <is>
          <t>GST</t>
        </is>
      </c>
      <c r="B15" s="12" t="inlineStr">
        <is>
          <t>GST (IGST 18%)</t>
        </is>
      </c>
      <c r="C15" s="12" t="inlineStr">
        <is>
          <t>Google Cloud India invoice</t>
        </is>
      </c>
      <c r="D15" s="12" t="inlineStr">
        <is>
          <t>18% of lines above</t>
        </is>
      </c>
      <c r="E15" s="12" t="inlineStr">
        <is>
          <t>—</t>
        </is>
      </c>
      <c r="F15" s="12">
        <f>ROUND(SUM(F2:F14)*0.18,2)</f>
        <v/>
      </c>
      <c r="G15" s="12">
        <f>F15*Cost!$B$15</f>
        <v/>
      </c>
      <c r="H15" s="12" t="inlineStr">
        <is>
          <t>Indian GST</t>
        </is>
      </c>
      <c r="I15" s="12" t="inlineStr">
        <is>
          <t>Assumption</t>
        </is>
      </c>
      <c r="J15" s="12" t="inlineStr">
        <is>
          <t>Applies on apply</t>
        </is>
      </c>
    </row>
    <row r="16">
      <c r="A16" s="12" t="n"/>
      <c r="B16" s="12" t="n"/>
      <c r="C16" s="12" t="n"/>
      <c r="D16" s="38" t="inlineStr">
        <is>
          <t>Dev total per month incl. GST</t>
        </is>
      </c>
      <c r="E16" s="12" t="n"/>
      <c r="F16" s="38">
        <f>SUM(F2:F15)</f>
        <v/>
      </c>
      <c r="G16" s="38">
        <f>SUM(G2:G15)</f>
        <v/>
      </c>
      <c r="H16" s="12" t="n"/>
      <c r="I16" s="12" t="n"/>
      <c r="J16" s="12" t="n"/>
    </row>
    <row r="17">
      <c r="A17" s="12" t="n"/>
      <c r="B17" s="12" t="n"/>
      <c r="C17" s="12" t="n"/>
      <c r="D17" s="38" t="inlineStr">
        <is>
          <t>Dev budget (₹850 before tax → incl. GST)</t>
        </is>
      </c>
      <c r="E17" s="12" t="n"/>
      <c r="F17" s="12" t="n"/>
      <c r="G17" s="38">
        <f>850*1.18</f>
        <v/>
      </c>
      <c r="H17" s="12" t="n"/>
      <c r="I17" s="12" t="n"/>
      <c r="J17" s="12" t="n"/>
    </row>
    <row r="18">
      <c r="A18" s="12" t="n"/>
      <c r="B18" s="12" t="n"/>
      <c r="C18" s="12" t="n"/>
      <c r="D18" s="38" t="inlineStr">
        <is>
          <t>Dev fits its budget?</t>
        </is>
      </c>
      <c r="E18" s="12" t="n"/>
      <c r="F18" s="12" t="n"/>
      <c r="G18" s="38">
        <f>IF(G16&lt;=G17,"Yes","No")</f>
        <v/>
      </c>
      <c r="H18" s="12" t="n"/>
      <c r="I18" s="12" t="n"/>
      <c r="J18" s="12" t="n"/>
    </row>
    <row r="19">
      <c r="D19" s="3" t="inlineStr">
        <is>
          <t>Dev + prod together (₹)</t>
        </is>
      </c>
      <c r="F19" s="3" t="n"/>
      <c r="G19" s="3">
        <f>G16+Resources!J35</f>
        <v/>
      </c>
    </row>
    <row r="20">
      <c r="D20" s="3" t="inlineStr">
        <is>
          <t>Dev + prod within ₹5,000?</t>
        </is>
      </c>
      <c r="F20" s="3" t="n"/>
      <c r="G20" s="3">
        <f>IF(G19&lt;=Cost!B16,"Yes","No — destroy dev before prod goes live")</f>
        <v/>
      </c>
    </row>
    <row r="21">
      <c r="D21" s="3" t="n"/>
      <c r="G21" s="3" t="n"/>
    </row>
    <row r="22">
      <c r="D22" s="3" t="inlineStr">
        <is>
          <t>Assumptions (yellow = edit me)</t>
        </is>
      </c>
      <c r="G22" s="3" t="n"/>
    </row>
    <row r="23">
      <c r="D23" s="5" t="inlineStr">
        <is>
          <t>Entry node running hours / month (730 = 24/7; 0 = disabled)</t>
        </is>
      </c>
      <c r="F23" s="35" t="n">
        <v>730</v>
      </c>
      <c r="G23" s="3" t="n"/>
    </row>
    <row r="24">
      <c r="D24" s="5" t="inlineStr">
        <is>
          <t>Vertex AI dev usage (USD / month)</t>
        </is>
      </c>
      <c r="F24" s="35" t="n">
        <v>1</v>
      </c>
    </row>
    <row r="25">
      <c r="D25" s="3" t="n"/>
    </row>
    <row r="26">
      <c r="A26" s="36" t="inlineStr">
        <is>
          <t>Dev = infra/envs/dev on Google Cloud (D4 = GCP, 2026-10-03; D1/D2 PROVISIONAL). Free tier used wherever GCP has one: always-free e2-micro + 30 GB pd-standard in us-central1 (dev holds no real personal data; prod stays in asia-south1), Cloud Run / Firestore / Secret Manager / Scheduler / Tasks / Logging free tiers. Not free: Cloud NAT, KMS key, Vertex AI. GCP free VM regions are US-only. Sources: cloud.google.com/free, gcloud-compute.com/e2-micro.html, cloud.google.com/nat (read 2026-10-03).</t>
        </is>
      </c>
      <c r="D26" s="5" t="n"/>
      <c r="F26" s="42" t="n"/>
    </row>
    <row r="27">
      <c r="D27" s="5" t="n"/>
      <c r="F27" s="42" t="n"/>
    </row>
    <row r="28">
      <c r="D28" s="5" t="n"/>
      <c r="F28" s="42" t="n"/>
    </row>
    <row r="29"/>
    <row r="30">
      <c r="A30" s="3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GCP services / IAM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build_image.py</t>
        </is>
      </c>
      <c r="C2" s="12" t="inlineStr">
        <is>
          <t>Build the app container image (linux/amd64, pinned base digest) and push to Artifact Registry asia-south1; print the digest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artifactregistry.writer</t>
        </is>
      </c>
      <c r="G2" s="12" t="inlineStr">
        <is>
          <t>src/, Dockerfile</t>
        </is>
      </c>
      <c r="H2" s="12" t="inlineStr">
        <is>
          <t>image digest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scripts/build_image.py</t>
        </is>
      </c>
    </row>
    <row r="3">
      <c r="A3" s="12" t="inlineStr">
        <is>
          <t>PY-02</t>
        </is>
      </c>
      <c r="B3" s="12" t="inlineStr">
        <is>
          <t>firestore_indexes.py</t>
        </is>
      </c>
      <c r="C3" s="12" t="inlineStr">
        <is>
          <t>Create/verify Firestore composite and vector indexes (memory.embedding)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datastore.indexAdmin</t>
        </is>
      </c>
      <c r="G3" s="12" t="inlineStr">
        <is>
          <t>firestore.indexes.json</t>
        </is>
      </c>
      <c r="H3" s="12" t="inlineStr">
        <is>
          <t>index status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scripts/firestore_indexes.py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Add a Secret Manager version from a hidden prompt or file (never a CLI argument)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secretmanager.secretVersionAdder (CMEK)</t>
        </is>
      </c>
      <c r="G4" s="12" t="inlineStr">
        <is>
          <t>secret id</t>
        </is>
      </c>
      <c r="H4" s="12" t="inlineStr">
        <is>
          <t>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vertex_smoke_test.py</t>
        </is>
      </c>
      <c r="C5" s="12" t="inlineStr">
        <is>
          <t>Confirm Claude access on Vertex AI (global), latency and token cost; compare Gemini in asia-south1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aiplatform.user</t>
        </is>
      </c>
      <c r="G5" s="12" t="inlineStr">
        <is>
          <t>model ids, location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scripts/vertex_smoke_test.py</t>
        </is>
      </c>
    </row>
    <row r="6">
      <c r="A6" s="12" t="inlineStr">
        <is>
          <t>PY-05</t>
        </is>
      </c>
      <c r="B6" s="12" t="inlineStr">
        <is>
          <t>cold_start_check.py</t>
        </is>
      </c>
      <c r="C6" s="12" t="inlineStr">
        <is>
          <t>Measure Cloud Run cold-start latency through the entry node; tune CPU boost / min instances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run.invoker (via node)</t>
        </is>
      </c>
      <c r="G6" s="12" t="inlineStr">
        <is>
          <t>api URL</t>
        </is>
      </c>
      <c r="H6" s="12" t="inlineStr">
        <is>
          <t>cold-start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scripts/cold_start_check.py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doc + one-time passkey registration code (stored in Secret Manager, read with gcloud)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datastore.user, secretmanager.secretVersionAdder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 Cloud Task per reminder (≤ 30 days ahead; the worker re-queues longer ones)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cloudtasks.enqueuer, iam.serviceAccountUser (invoker)</t>
        </is>
      </c>
      <c r="G9" s="12" t="inlineStr">
        <is>
          <t>reminder</t>
        </is>
      </c>
      <c r="H9" s="12" t="inlineStr">
        <is>
          <t>task name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add it as a Secret Manager version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secretmanager.secretVersionAdder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local Whisper/Kokoro on Cloud Run, Google Speech-to-Text / Text-to-Speech)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speech, texttospeech APIs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data: Firestore managed export + app-level JSON archive to GCS (CMEK)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datastore.importExportAdmin, storage.objectCreator</t>
        </is>
      </c>
      <c r="G12" s="12" t="inlineStr">
        <is>
          <t>—</t>
        </is>
      </c>
      <c r="H12" s="12" t="inlineStr">
        <is>
          <t>gs://…/daily/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collection;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datastore.user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Firestore docs + GCS objects (owner removes the unlocked retention policy first)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datastore.user, storage.admin (owner-run)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the GCS copies under retention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datastore.viewer, storage.objectViewer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the latest Firestore backup into a new database in the dev project; run integrity checks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datastore backups restore (owner)</t>
        </is>
      </c>
      <c r="G17" s="12" t="inlineStr">
        <is>
          <t>backup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Vertex call (daily)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from the Cloud Billing export / Budget API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billing.viewer, bigquery.dataViewer (billing export)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the Cloud Billing Catalog API (asia-south1) for every tracked resource; flag changes; update the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Cloud Billing Catalog API (read)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(Cloud Run container on a pinned python:3.12-slim digest), type hints, logging (not print), argparse, explicit non-zero exits, pytest tests (Firestore emulator), ruff/black. Secrets only from Secret Manager; no JSON service-account keys; GCP access through attached service accounts or Workload Identity Federation.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  <row r="3">
      <c r="A3" s="16" t="n">
        <v>46298</v>
      </c>
      <c r="B3" s="12" t="inlineStr">
        <is>
          <t>Close PR #1; rename branch; create dev/prod/release; force-push feature_infra; GitHub environment dev + secret TFVARS; open PR #2</t>
        </is>
      </c>
      <c r="C3" s="12" t="inlineStr">
        <is>
          <t>github.com/SharoffNIKHIL/Weekend2.0</t>
        </is>
      </c>
      <c r="D3" s="12" t="inlineStr">
        <is>
          <t>Medium</t>
        </is>
      </c>
      <c r="E3" s="12" t="inlineStr">
        <is>
          <t>Owner</t>
        </is>
      </c>
    </row>
    <row r="4">
      <c r="A4" s="16" t="n">
        <v>46298</v>
      </c>
      <c r="B4" s="12" t="inlineStr">
        <is>
          <t>D4 = Google Cloud (AWS dropped); rewrite Terraform/docs/tracker; replace GitHub dev secret TFVARS with GCP values</t>
        </is>
      </c>
      <c r="C4" s="12" t="inlineStr">
        <is>
          <t>Repo + GitHub environment dev</t>
        </is>
      </c>
      <c r="D4" s="12" t="inlineStr">
        <is>
          <t>Medium</t>
        </is>
      </c>
      <c r="E4" s="12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  <row r="9">
      <c r="A9" s="12" t="inlineStr">
        <is>
          <t>Tracker</t>
        </is>
      </c>
      <c r="B9" s="12" t="inlineStr">
        <is>
          <t>1.4</t>
        </is>
      </c>
      <c r="C9" s="16" t="n">
        <v>46297</v>
      </c>
      <c r="D9" s="12" t="inlineStr">
        <is>
          <t>Minor</t>
        </is>
      </c>
      <c r="E9" s="12" t="inlineStr">
        <is>
          <t>Dev env sheet (envs/dev, free-tier sizing, ≈ ₹1,042/month incl. GST); tasks T-020, T-021; issues I-13–I-15</t>
        </is>
      </c>
    </row>
    <row r="10">
      <c r="A10" s="12" t="inlineStr">
        <is>
          <t>Tracker</t>
        </is>
      </c>
      <c r="B10" s="12" t="inlineStr">
        <is>
          <t>1.5</t>
        </is>
      </c>
      <c r="C10" s="16" t="n">
        <v>46298</v>
      </c>
      <c r="D10" s="12" t="inlineStr">
        <is>
          <t>Minor</t>
        </is>
      </c>
      <c r="E10" s="12" t="inlineStr">
        <is>
          <t>Branching strategy (main / dev / feature_infra); T-022, T-023; I-16. Dev env sheet stays free-tier (dev branch values)</t>
        </is>
      </c>
    </row>
    <row r="11">
      <c r="A11" s="12" t="inlineStr">
        <is>
          <t>Tracker</t>
        </is>
      </c>
      <c r="B11" s="12" t="inlineStr">
        <is>
          <t>1.6</t>
        </is>
      </c>
      <c r="C11" s="16" t="n">
        <v>46298</v>
      </c>
      <c r="D11" s="12" t="inlineStr">
        <is>
          <t>Patch</t>
        </is>
      </c>
      <c r="E11" s="12" t="inlineStr">
        <is>
          <t>Branches main/dev/prod/release + feature_infra; dev values moved to GitHub environment secrets; T-024, I-18</t>
        </is>
      </c>
    </row>
    <row r="12">
      <c r="A12" s="12" t="inlineStr">
        <is>
          <t>DESIGN.md</t>
        </is>
      </c>
      <c r="B12" s="12" t="inlineStr">
        <is>
          <t>0.2.0</t>
        </is>
      </c>
      <c r="C12" s="16" t="n">
        <v>46298</v>
      </c>
      <c r="D12" s="12" t="inlineStr">
        <is>
          <t>Major</t>
        </is>
      </c>
      <c r="E12" s="12" t="inlineStr">
        <is>
          <t>D4 = GCP: Cloud Run + Firestore + Vertex AI + e2-micro tailnet node; cost ≈ ₹2,784/month prod incl. GST; 🔓 Claude global endpoint</t>
        </is>
      </c>
    </row>
    <row r="13">
      <c r="A13" s="12" t="inlineStr">
        <is>
          <t>ADR-0001</t>
        </is>
      </c>
      <c r="B13" s="12" t="inlineStr">
        <is>
          <t>1.0</t>
        </is>
      </c>
      <c r="C13" s="16" t="n">
        <v>46298</v>
      </c>
      <c r="D13" s="12" t="inlineStr">
        <is>
          <t>Initial</t>
        </is>
      </c>
      <c r="E13" s="12" t="inlineStr">
        <is>
          <t>D4 cloud provider = Google Cloud</t>
        </is>
      </c>
    </row>
    <row r="14">
      <c r="A14" s="12" t="inlineStr">
        <is>
          <t>Tracker</t>
        </is>
      </c>
      <c r="B14" s="12" t="inlineStr">
        <is>
          <t>1.7</t>
        </is>
      </c>
      <c r="C14" s="16" t="n">
        <v>46298</v>
      </c>
      <c r="D14" s="12" t="inlineStr">
        <is>
          <t>Major</t>
        </is>
      </c>
      <c r="E14" s="12" t="inlineStr">
        <is>
          <t>Cloud switched to GCP: Resources (32 GCP lines), Cost, Dev env rebuilt; D4 decided; AWS-only issues closed; I-19–I-23; T-025–T-028; Automation Scripts on GCP services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2026-10-03T05:10:59Z</dcterms:modified>
</cp:coreProperties>
</file>