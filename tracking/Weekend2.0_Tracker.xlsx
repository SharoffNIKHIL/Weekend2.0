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env'!G19</f>
        <v/>
      </c>
    </row>
    <row r="52">
      <c r="A52" s="5" t="inlineStr">
        <is>
          <t>Dev + prod within budget?</t>
        </is>
      </c>
      <c r="B52" s="5">
        <f>'Dev env'!G23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 strategy: main = base code; dev branch = dev values (values.auto.tfvars); feature_* from dev; CI branch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report script + CI on dev (PR feature_infra → dev)</t>
        </is>
      </c>
      <c r="D24" s="12" t="inlineStr">
        <is>
          <t>High</t>
        </is>
      </c>
      <c r="E24" s="12" t="inlineStr">
        <is>
          <t>In progress</t>
        </is>
      </c>
      <c r="F24" s="16" t="n">
        <v>46298</v>
      </c>
      <c r="G24" s="16" t="n"/>
      <c r="H24" s="16" t="n"/>
      <c r="I24" s="12" t="inlineStr">
        <is>
          <t>Supersedes PR #1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Confirm billing entity; consider Aurora max 1 ACU or dropping public IPv4</t>
        </is>
      </c>
      <c r="E12" s="13" t="inlineStr">
        <is>
          <t>Open</t>
        </is>
      </c>
      <c r="F12" s="16" t="n">
        <v>46297</v>
      </c>
      <c r="G12" s="14" t="n"/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Decide in Phase 1: Lambda Web Adapter (stream) or keep buffered</t>
        </is>
      </c>
      <c r="E13" s="13" t="inlineStr">
        <is>
          <t>Open</t>
        </is>
      </c>
      <c r="F13" s="16" t="n">
        <v>46297</v>
      </c>
      <c r="G13" s="14" t="n"/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Destroy dev (or stop its node) before prod goes live</t>
        </is>
      </c>
      <c r="E14" s="12" t="inlineStr">
        <is>
          <t>Open</t>
        </is>
      </c>
      <c r="F14" s="16" t="n">
        <v>46297</v>
      </c>
      <c r="G14" s="16" t="n"/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Set entry_node_instance_type = "t4g.nano" in envs/dev before 2026-12-31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Check plan (Billing → Free Tier); upgrade to Paid plan if model enablement fails</t>
        </is>
      </c>
      <c r="E16" s="12" t="inlineStr">
        <is>
          <t>Open</t>
        </is>
      </c>
      <c r="F16" s="16" t="n">
        <v>46297</v>
      </c>
      <c r="G16" s="16" t="n"/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Configure valid credentials (prefer aws configure sso); remove dead keys from ~/.aws/credentials</t>
        </is>
      </c>
      <c r="E17" s="12" t="inlineStr">
        <is>
          <t>Open</t>
        </is>
      </c>
      <c r="F17" s="16" t="n">
        <v>46298</v>
      </c>
      <c r="G17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BUFFERED (Python cannot stream natively; Web Adapter = Phase 1)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 default; monthly/ 365 d + audit/ 730 d per object;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1">
      <c r="A41" s="12" t="inlineStr">
        <is>
          <t>GST</t>
        </is>
      </c>
      <c r="B41" s="12" t="inlineStr">
        <is>
          <t>(no resource — tax on the AWS bill)</t>
        </is>
      </c>
      <c r="C41" s="12" t="inlineStr">
        <is>
          <t>GST (IGST 18%)</t>
        </is>
      </c>
      <c r="D41" s="12" t="inlineStr">
        <is>
          <t>AWS India (AISPL) invoice</t>
        </is>
      </c>
      <c r="E41" s="12" t="inlineStr">
        <is>
          <t>—</t>
        </is>
      </c>
      <c r="F41" s="12" t="inlineStr">
        <is>
          <t>India</t>
        </is>
      </c>
      <c r="G41" s="12" t="inlineStr">
        <is>
          <t>Tax added to every AWS charge</t>
        </is>
      </c>
      <c r="H41" s="12" t="inlineStr">
        <is>
          <t>18% of lines 1–39; assumes AISPL billing (check Billing → Account)</t>
        </is>
      </c>
      <c r="I41" s="26">
        <f>ROUND(SUM(I2:I40)*0.18,2)</f>
        <v/>
      </c>
      <c r="J41" s="27">
        <f>I41*Cost!$B$15</f>
        <v/>
      </c>
      <c r="K41" s="12" t="inlineStr">
        <is>
          <t>AISPL charges 18% GST on AWS services</t>
        </is>
      </c>
      <c r="L41" s="13" t="inlineStr">
        <is>
          <t>Assumption (confirm entity)</t>
        </is>
      </c>
      <c r="M41" s="13" t="inlineStr">
        <is>
          <t>Applies on apply</t>
        </is>
      </c>
      <c r="N41" s="12" t="n">
        <v>1</v>
      </c>
    </row>
    <row r="42">
      <c r="H42" s="3" t="inlineStr">
        <is>
          <t>Total per month incl. 18% GST (expected use)</t>
        </is>
      </c>
      <c r="I42" s="33">
        <f>SUM(I2:I41)</f>
        <v/>
      </c>
      <c r="J42" s="34">
        <f>SUM(J2:J41)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 Review 2026-10-02: GST line added (tracker v1.3); total now includes 18% GST.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3 subnets, IGW, 2 route tables, SGs)</t>
        </is>
      </c>
      <c r="C2" s="12" t="inlineStr">
        <is>
          <t>weekend2-dev-vpc …</t>
        </is>
      </c>
      <c r="D2" s="12" t="inlineStr">
        <is>
          <t>10.30.0.0/16; no NAT; no inbound rules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KMS CMK</t>
        </is>
      </c>
      <c r="C3" s="12" t="inlineStr">
        <is>
          <t>alias/weekend2-dev-data</t>
        </is>
      </c>
      <c r="D3" s="12" t="inlineStr">
        <is>
          <t>Rotation 365 d; 7-day deletion window</t>
        </is>
      </c>
      <c r="E3" s="12" t="inlineStr">
        <is>
          <t>None</t>
        </is>
      </c>
      <c r="F3" s="12" t="n">
        <v>1</v>
      </c>
      <c r="G3" s="12">
        <f>F3*Cost!$B$15</f>
        <v/>
      </c>
      <c r="H3" s="12" t="inlineStr">
        <is>
          <t>$1/key-month (AWS Price List API ap-south-1 2026-09-11)</t>
        </is>
      </c>
      <c r="I3" s="12" t="inlineStr">
        <is>
          <t>Verified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Secret</t>
        </is>
      </c>
      <c r="C4" s="12" t="inlineStr">
        <is>
          <t>weekend2-dev/tailscale/authkey</t>
        </is>
      </c>
      <c r="D4" s="12" t="inlineStr">
        <is>
          <t>KMS; recovery window 0 (dev)</t>
        </is>
      </c>
      <c r="E4" s="12" t="inlineStr">
        <is>
          <t>None</t>
        </is>
      </c>
      <c r="F4" s="12" t="n">
        <v>0.4</v>
      </c>
      <c r="G4" s="12">
        <f>F4*Cost!$B$15</f>
        <v/>
      </c>
      <c r="H4" s="12" t="inlineStr">
        <is>
          <t>$0.40/secret-month</t>
        </is>
      </c>
      <c r="I4" s="12" t="inlineStr">
        <is>
          <t>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</t>
        </is>
      </c>
      <c r="C5" s="12" t="inlineStr">
        <is>
          <t>weekend2-dev/app/session-signing-key</t>
        </is>
      </c>
      <c r="D5" s="12" t="inlineStr">
        <is>
          <t>KMS</t>
        </is>
      </c>
      <c r="E5" s="12" t="inlineStr">
        <is>
          <t>None</t>
        </is>
      </c>
      <c r="F5" s="12" t="n">
        <v>0.4</v>
      </c>
      <c r="G5" s="12">
        <f>F5*Cost!$B$15</f>
        <v/>
      </c>
      <c r="H5" s="12" t="inlineStr">
        <is>
          <t>$0.40/secret-month</t>
        </is>
      </c>
      <c r="I5" s="12" t="inlineStr">
        <is>
          <t>Verified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Secret (RDS-managed)</t>
        </is>
      </c>
      <c r="C6" s="12" t="inlineStr">
        <is>
          <t>rds!cluster-&lt;id&gt;</t>
        </is>
      </c>
      <c r="D6" s="12" t="inlineStr">
        <is>
          <t>Aurora master password, rotated by RDS</t>
        </is>
      </c>
      <c r="E6" s="12" t="inlineStr">
        <is>
          <t>None</t>
        </is>
      </c>
      <c r="F6" s="12" t="n">
        <v>0.4</v>
      </c>
      <c r="G6" s="12">
        <f>F6*Cost!$B$15</f>
        <v/>
      </c>
      <c r="H6" s="12" t="inlineStr">
        <is>
          <t>$0.40/secret-month</t>
        </is>
      </c>
      <c r="I6" s="12" t="inlineStr">
        <is>
          <t>Verified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Aurora PostgreSQL Serverless v2 (compute)</t>
        </is>
      </c>
      <c r="C7" s="12" t="inlineStr">
        <is>
          <t>weekend2-dev-aurora</t>
        </is>
      </c>
      <c r="D7" s="12" t="inlineStr">
        <is>
          <t>0–1 ACU; pause after 300 s; Data API; no deletion protection; 1-day backups</t>
        </is>
      </c>
      <c r="E7" s="12" t="n"/>
      <c r="F7" s="12">
        <f>ROUND($F$26*0.5*0.18,2)</f>
        <v/>
      </c>
      <c r="G7" s="12">
        <f>F7*Cost!$B$15</f>
        <v/>
      </c>
      <c r="H7" s="12" t="inlineStr">
        <is>
          <t>$0.18/ACU-h × 0.5 ACU × active hours (F26)</t>
        </is>
      </c>
      <c r="I7" s="12" t="inlineStr">
        <is>
          <t>Rate verified; hours 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Aurora storage + I/O</t>
        </is>
      </c>
      <c r="C8" s="12" t="inlineStr">
        <is>
          <t>—</t>
        </is>
      </c>
      <c r="D8" s="12" t="inlineStr">
        <is>
          <t>&lt;1 GB test data</t>
        </is>
      </c>
      <c r="E8" s="12" t="inlineStr">
        <is>
          <t>None</t>
        </is>
      </c>
      <c r="F8" s="12" t="n">
        <v>0.15</v>
      </c>
      <c r="G8" s="12">
        <f>F8*Cost!$B$15</f>
        <v/>
      </c>
      <c r="H8" s="12" t="inlineStr">
        <is>
          <t>$0.11/GB-mo + $0.22/M I/O (verified rates); volume estimate</t>
        </is>
      </c>
      <c r="I8" s="12" t="inlineStr">
        <is>
          <t>Estimate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Lambda ×2 + Function URL</t>
        </is>
      </c>
      <c r="C9" s="12" t="inlineStr">
        <is>
          <t>weekend2-dev-api / weekend2-dev-worker</t>
        </is>
      </c>
      <c r="D9" s="12" t="inlineStr">
        <is>
          <t>python3.14 arm64; AWS_IAM URL; BUFFERED</t>
        </is>
      </c>
      <c r="E9" s="12" t="inlineStr">
        <is>
          <t>Always free: 1M req + 400k GB-s/mo</t>
        </is>
      </c>
      <c r="F9" s="12" t="n">
        <v>0</v>
      </c>
      <c r="G9" s="12">
        <f>F9*Cost!$B$15</f>
        <v/>
      </c>
      <c r="H9" s="12" t="inlineStr">
        <is>
          <t>AWS Free Tier (always free)</t>
        </is>
      </c>
      <c r="I9" s="12" t="inlineStr">
        <is>
          <t>Verified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CloudWatch Logs ×2</t>
        </is>
      </c>
      <c r="C10" s="12" t="inlineStr">
        <is>
          <t>/aws/lambda/weekend2-dev-*</t>
        </is>
      </c>
      <c r="D10" s="12" t="inlineStr">
        <is>
          <t>3-day retention; KMS; DEBUG</t>
        </is>
      </c>
      <c r="E10" s="12" t="inlineStr">
        <is>
          <t>5 GB ingest free (Not verified)</t>
        </is>
      </c>
      <c r="F10" s="12" t="n">
        <v>0.1</v>
      </c>
      <c r="G10" s="12">
        <f>F10*Cost!$B$15</f>
        <v/>
      </c>
      <c r="H10" s="12" t="inlineStr">
        <is>
          <t>$0.67/GB ingest; volume estimate</t>
        </is>
      </c>
      <c r="I10" s="12" t="inlineStr">
        <is>
          <t>Estimate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EventBridge Scheduler</t>
        </is>
      </c>
      <c r="C11" s="12" t="inlineStr">
        <is>
          <t>weekend2-dev group + 2 daily jobs</t>
        </is>
      </c>
      <c r="D11" s="12" t="inlineStr">
        <is>
          <t>IST cron</t>
        </is>
      </c>
      <c r="E11" s="12" t="inlineStr">
        <is>
          <t>14M invocations/mo free (Not verified)</t>
        </is>
      </c>
      <c r="F11" s="12" t="n">
        <v>0</v>
      </c>
      <c r="G11" s="12">
        <f>F11*Cost!$B$15</f>
        <v/>
      </c>
      <c r="H11" s="12" t="inlineStr">
        <is>
          <t>—</t>
        </is>
      </c>
      <c r="I11" s="12" t="inlineStr">
        <is>
          <t>Not verified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EC2 t4g.small (entry node)</t>
        </is>
      </c>
      <c r="C12" s="12" t="inlineStr">
        <is>
          <t>weekend2-dev-entry (tailnet node-d1)</t>
        </is>
      </c>
      <c r="D12" s="12" t="inlineStr">
        <is>
          <t>AL2023 arm64; IMDSv2; SSM; tag:weekend-dev; can be disabled</t>
        </is>
      </c>
      <c r="E12" s="12" t="inlineStr">
        <is>
          <t>EC2 T4g free trial: 750 h/mo, ap-south-1, until 2026-12-31</t>
        </is>
      </c>
      <c r="F12" s="12" t="n">
        <v>0</v>
      </c>
      <c r="G12" s="12">
        <f>F12*Cost!$B$15</f>
        <v/>
      </c>
      <c r="H12" s="12" t="inlineStr">
        <is>
          <t>aws.amazon.com/ec2/faqs (read 2026-10-02)</t>
        </is>
      </c>
      <c r="I12" s="12" t="inlineStr">
        <is>
          <t>Verified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EBS gp3 8 GB</t>
        </is>
      </c>
      <c r="C13" s="12" t="inlineStr">
        <is>
          <t>(root volume)</t>
        </is>
      </c>
      <c r="D13" s="12" t="inlineStr">
        <is>
          <t>Encrypted with CMK; billed even when the node is stopped</t>
        </is>
      </c>
      <c r="E13" s="12" t="inlineStr">
        <is>
          <t>Not covered by T4g trial</t>
        </is>
      </c>
      <c r="F13" s="12">
        <f>IF($F$27&gt;0,ROUND(0.0912*8,2),0)</f>
        <v/>
      </c>
      <c r="G13" s="12">
        <f>F13*Cost!$B$15</f>
        <v/>
      </c>
      <c r="H13" s="12" t="inlineStr">
        <is>
          <t>$0.0912/GB-mo × 8 (2026-09-25)</t>
        </is>
      </c>
      <c r="I13" s="12" t="inlineStr">
        <is>
          <t>Verified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Public IPv4</t>
        </is>
      </c>
      <c r="C14" s="12" t="inlineStr">
        <is>
          <t>(auto-assigned)</t>
        </is>
      </c>
      <c r="D14" s="12" t="inlineStr">
        <is>
          <t>Egress only; released while the node is stopped</t>
        </is>
      </c>
      <c r="E14" s="12" t="inlineStr">
        <is>
          <t>No free tier listed on VPC pricing page</t>
        </is>
      </c>
      <c r="F14" s="12">
        <f>ROUND(0.005*$F$27,2)</f>
        <v/>
      </c>
      <c r="G14" s="12">
        <f>F14*Cost!$B$15</f>
        <v/>
      </c>
      <c r="H14" s="12" t="inlineStr">
        <is>
          <t>$0.005/h × running hours (F27); aws.amazon.com/vpc/pricing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n">
        <v>14</v>
      </c>
      <c r="B15" s="12" t="inlineStr">
        <is>
          <t>S3 backup bucket</t>
        </is>
      </c>
      <c r="C15" s="12" t="inlineStr">
        <is>
          <t>weekend2-dev-backups-&lt;account-id&gt;</t>
        </is>
      </c>
      <c r="D15" s="12" t="inlineStr">
        <is>
          <t>Object Lock 1 day; force_destroy; SSE-KMS</t>
        </is>
      </c>
      <c r="E15" s="12" t="inlineStr">
        <is>
          <t>None</t>
        </is>
      </c>
      <c r="F15" s="12" t="n">
        <v>0.01</v>
      </c>
      <c r="G15" s="12">
        <f>F15*Cost!$B$15</f>
        <v/>
      </c>
      <c r="H15" s="12" t="inlineStr">
        <is>
          <t>Test-sized</t>
        </is>
      </c>
      <c r="I15" s="12" t="inlineStr">
        <is>
          <t>Estimate</t>
        </is>
      </c>
      <c r="J15" s="12" t="inlineStr">
        <is>
          <t>Drafted (not applied)</t>
        </is>
      </c>
    </row>
    <row r="16">
      <c r="A16" s="12" t="n">
        <v>15</v>
      </c>
      <c r="B16" s="12" t="inlineStr">
        <is>
          <t>AWS Budget</t>
        </is>
      </c>
      <c r="C16" s="12" t="inlineStr">
        <is>
          <t>weekend2-dev-monthly</t>
        </is>
      </c>
      <c r="D16" s="12" t="inlineStr">
        <is>
          <t>USD 12 incl. tax; 50/80/100% + forecast</t>
        </is>
      </c>
      <c r="E16" s="12" t="inlineStr">
        <is>
          <t>Budgets free (no actions)</t>
        </is>
      </c>
      <c r="F16" s="12" t="n">
        <v>0</v>
      </c>
      <c r="G16" s="12">
        <f>F16*Cost!$B$15</f>
        <v/>
      </c>
      <c r="H16" s="12" t="inlineStr">
        <is>
          <t>—</t>
        </is>
      </c>
      <c r="I16" s="12" t="inlineStr">
        <is>
          <t>Not verified</t>
        </is>
      </c>
      <c r="J16" s="12" t="inlineStr">
        <is>
          <t>Drafted (not applied)</t>
        </is>
      </c>
    </row>
    <row r="17">
      <c r="A17" s="12" t="n">
        <v>16</v>
      </c>
      <c r="B17" s="12" t="inlineStr">
        <is>
          <t>Amazon Bedrock (Haiku 4.5, dev testing)</t>
        </is>
      </c>
      <c r="C17" s="12" t="inlineStr">
        <is>
          <t>—</t>
        </is>
      </c>
      <c r="D17" s="12" t="inlineStr">
        <is>
          <t>in.* India profile; both model slots = Haiku</t>
        </is>
      </c>
      <c r="E17" s="12" t="inlineStr">
        <is>
          <t>No free tier (credits apply)</t>
        </is>
      </c>
      <c r="F17" s="12">
        <f>$F$28</f>
        <v/>
      </c>
      <c r="G17" s="12">
        <f>F17*Cost!$B$15</f>
        <v/>
      </c>
      <c r="H17" s="12" t="inlineStr">
        <is>
          <t>Estimate (F28)</t>
        </is>
      </c>
      <c r="I17" s="12" t="inlineStr">
        <is>
          <t>Estimate</t>
        </is>
      </c>
      <c r="J17" s="12" t="inlineStr">
        <is>
          <t>Drafted (not applied)</t>
        </is>
      </c>
    </row>
    <row r="18">
      <c r="A18" s="12" t="inlineStr">
        <is>
          <t>GST</t>
        </is>
      </c>
      <c r="B18" s="12" t="inlineStr">
        <is>
          <t>GST (IGST 18%)</t>
        </is>
      </c>
      <c r="C18" s="12" t="inlineStr">
        <is>
          <t>AWS India (AISPL) invoice</t>
        </is>
      </c>
      <c r="D18" s="12" t="inlineStr">
        <is>
          <t>18% of lines above; assumes AISPL billing</t>
        </is>
      </c>
      <c r="E18" s="12" t="inlineStr">
        <is>
          <t>—</t>
        </is>
      </c>
      <c r="F18" s="12">
        <f>ROUND(SUM(F2:F17)*0.18,2)</f>
        <v/>
      </c>
      <c r="G18" s="12">
        <f>F18*Cost!$B$15</f>
        <v/>
      </c>
      <c r="H18" s="12" t="inlineStr">
        <is>
          <t>AISPL charges 18% GST</t>
        </is>
      </c>
      <c r="I18" s="12" t="inlineStr">
        <is>
          <t>Assumption</t>
        </is>
      </c>
      <c r="J18" s="12" t="inlineStr">
        <is>
          <t>Applies on apply</t>
        </is>
      </c>
    </row>
    <row r="19">
      <c r="D19" s="3" t="inlineStr">
        <is>
          <t>Dev total per month incl. GST</t>
        </is>
      </c>
      <c r="F19" s="3">
        <f>SUM(F2:F18)</f>
        <v/>
      </c>
      <c r="G19" s="3">
        <f>SUM(G2:G18)</f>
        <v/>
      </c>
    </row>
    <row r="20">
      <c r="D20" s="3" t="inlineStr">
        <is>
          <t>Dev budget (USD 12)</t>
        </is>
      </c>
      <c r="F20" s="3" t="n">
        <v>12</v>
      </c>
      <c r="G20" s="3">
        <f>F20*Cost!$B$15</f>
        <v/>
      </c>
    </row>
    <row r="21">
      <c r="D21" s="3" t="inlineStr">
        <is>
          <t>Dev fits its budget?</t>
        </is>
      </c>
      <c r="G21" s="3">
        <f>IF(F19&lt;=F20,"Yes","No")</f>
        <v/>
      </c>
    </row>
    <row r="22">
      <c r="D22" s="3" t="inlineStr">
        <is>
          <t>Dev + prod together (₹)</t>
        </is>
      </c>
      <c r="G22" s="3">
        <f>G19+Resources!J42</f>
        <v/>
      </c>
    </row>
    <row r="23">
      <c r="D23" s="3" t="inlineStr">
        <is>
          <t>Dev + prod within ₹5,000?</t>
        </is>
      </c>
      <c r="G23" s="3">
        <f>IF(G22&lt;=Cost!B16,"Yes","No — destroy dev before prod goes live")</f>
        <v/>
      </c>
    </row>
    <row r="25">
      <c r="D25" s="3" t="inlineStr">
        <is>
          <t>Assumptions (yellow = edit me)</t>
        </is>
      </c>
    </row>
    <row r="26">
      <c r="D26" s="5" t="inlineStr">
        <is>
          <t>Aurora active hours / month</t>
        </is>
      </c>
      <c r="F26" s="35" t="n">
        <v>15</v>
      </c>
    </row>
    <row r="27">
      <c r="D27" s="5" t="inlineStr">
        <is>
          <t>Entry node running hours / month (730 = 24/7; 0 = disabled)</t>
        </is>
      </c>
      <c r="F27" s="35" t="n">
        <v>730</v>
      </c>
    </row>
    <row r="28">
      <c r="D28" s="5" t="inlineStr">
        <is>
          <t>Bedrock dev usage (USD / month)</t>
        </is>
      </c>
      <c r="F28" s="35" t="n">
        <v>1</v>
      </c>
    </row>
    <row r="30">
      <c r="A30" s="36" t="inlineStr">
        <is>
          <t>Dev = infra/envs/dev (PROVISIONAL — depends on D1). Free tier used where it exists in ap-south-1: Lambda always free; Scheduler, Budgets and S3 cost nothing or cents at dev volume; EC2 T4g trial (t4g.small, 750 h/month, until 2026-12-31 — switch to t4g.nano before then). Not free: KMS, Secrets Manager, Aurora, public IPv4, EBS, Bedrock. A new-account sign-up credit (USD 100–200, Free plan 6 months) would cover dev. GCP not used: its always-free e2-micro exists only in US regions (data residency, P7) and D4 is AWS-provisional. Sources: aws.amazon.com/ec2/faqs, aws.amazon.com/vpc/pricing, docs.aws.amazon.com free-tier-plans (read 2026-10-02).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2026-10-03T04:32:47Z</dcterms:modified>
</cp:coreProperties>
</file>