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'Resources'!$A$1:$N$40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AWS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IF(COUNTIF(Decisions!$D$2:$D$200,"Decided")&gt;=COUNTA(Decisions!$A$2:$A$200),"All decided",INDEX(Decisions!$A$2:$A$200,COUNTIF(Decisions!$D$2:$D$200,"Decided")+1)&amp;" — "&amp;INDEX(Decisions!$C$2:$C$200,COUNTIF(Decisions!$D$2:$D$200,"Decided")+1))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 — PROVISIONAL)</t>
        </is>
      </c>
    </row>
    <row r="45">
      <c r="A45" s="5" t="inlineStr">
        <is>
          <t>Resources tracked</t>
        </is>
      </c>
      <c r="B45" s="5">
        <f>COUNTA(Resources!$B$2:$B$40)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E2 estimated cost (₹/month)</t>
        </is>
      </c>
      <c r="B47" s="32">
        <f>Resources!J42</f>
        <v/>
      </c>
    </row>
    <row r="48">
      <c r="A48" s="5" t="inlineStr">
        <is>
          <t>E2 fits budget?</t>
        </is>
      </c>
      <c r="B48" s="5">
        <f>Resources!J45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env'!G19</f>
        <v/>
      </c>
    </row>
    <row r="52">
      <c r="A52" s="5" t="inlineStr">
        <is>
          <t>Dev + prod within budget?</t>
        </is>
      </c>
      <c r="B52" s="5">
        <f>'Dev env'!G23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AWS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infra/ — PROVISIONAL until D1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Confirm Aurora engine version + Bedrock India model IDs in ap-south-1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Commands in infra/README.md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infra/README.md → Dev run order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Private EC2 server, ap-south-1, tailnet-only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via Bedrock India profile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Open</t>
        </is>
      </c>
      <c r="E4" s="12" t="inlineStr">
        <is>
          <t>AWS (§16)</t>
        </is>
      </c>
      <c r="F4" s="13" t="inlineStr"/>
      <c r="G4" s="14" t="n"/>
      <c r="H4" s="13" t="inlineStr"/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PostgreSQL 17 + pgvector on encrypted EBS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Check the AWS Bedrock pricing page</t>
        </is>
      </c>
      <c r="E3" s="13" t="inlineStr">
        <is>
          <t>Open</t>
        </is>
      </c>
      <c r="F3" s="16" t="n">
        <v>46297</v>
      </c>
      <c r="G3" s="14" t="n"/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Optional: fix in FigJam and re-export 04</t>
        </is>
      </c>
      <c r="E6" s="13" t="inlineStr">
        <is>
          <t>Open</t>
        </is>
      </c>
      <c r="F6" s="16" t="n">
        <v>46297</v>
      </c>
      <c r="G6" s="14" t="n"/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Accept, or raise min ACU (cost) — decide with D5</t>
        </is>
      </c>
      <c r="E8" s="13" t="inlineStr">
        <is>
          <t>Open</t>
        </is>
      </c>
      <c r="F8" s="16" t="n">
        <v>46297</v>
      </c>
      <c r="G8" s="14" t="n"/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Run list-inference-profiles (T-018)</t>
        </is>
      </c>
      <c r="E9" s="13" t="inlineStr">
        <is>
          <t>Open</t>
        </is>
      </c>
      <c r="F9" s="16" t="n">
        <v>46297</v>
      </c>
      <c r="G9" s="14" t="n"/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Confirm billing entity; consider Aurora max 1 ACU or dropping public IPv4</t>
        </is>
      </c>
      <c r="E12" s="13" t="inlineStr">
        <is>
          <t>Open</t>
        </is>
      </c>
      <c r="F12" s="16" t="n">
        <v>46297</v>
      </c>
      <c r="G12" s="14" t="n"/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Decide in Phase 1: Lambda Web Adapter (stream) or keep buffered</t>
        </is>
      </c>
      <c r="E13" s="13" t="inlineStr">
        <is>
          <t>Open</t>
        </is>
      </c>
      <c r="F13" s="16" t="n">
        <v>46297</v>
      </c>
      <c r="G13" s="14" t="n"/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Destroy dev (or stop its node) before prod goes live</t>
        </is>
      </c>
      <c r="E14" s="12" t="inlineStr">
        <is>
          <t>Open</t>
        </is>
      </c>
      <c r="F14" s="16" t="n">
        <v>46297</v>
      </c>
      <c r="G14" s="16" t="n"/>
    </row>
    <row r="15">
      <c r="A15" s="12" t="inlineStr">
        <is>
          <t>I-14</t>
        </is>
      </c>
      <c r="B15" s="12" t="inlineStr">
        <is>
          <t>EC2 T4g free trial (t4g.small) ends 2026-12-31; dev node then becomes paid</t>
        </is>
      </c>
      <c r="C15" s="12" t="inlineStr">
        <is>
          <t>Low</t>
        </is>
      </c>
      <c r="D15" s="12" t="inlineStr">
        <is>
          <t>Set entry_node_instance_type = "t4g.nano" in envs/dev before 2026-12-31</t>
        </is>
      </c>
      <c r="E15" s="12" t="inlineStr">
        <is>
          <t>Open</t>
        </is>
      </c>
      <c r="F15" s="16" t="n">
        <v>46297</v>
      </c>
      <c r="G15" s="16" t="n"/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Check plan (Billing → Free Tier); upgrade to Paid plan if model enablement fails</t>
        </is>
      </c>
      <c r="E16" s="12" t="inlineStr">
        <is>
          <t>Open</t>
        </is>
      </c>
      <c r="F16" s="16" t="n">
        <v>46297</v>
      </c>
      <c r="G16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EC2 t4g.medium</t>
        </is>
      </c>
      <c r="B2" s="12" t="inlineStr">
        <is>
          <t>$0.0224/h × 730 h</t>
        </is>
      </c>
      <c r="C2" s="26" t="n">
        <v>16.352</v>
      </c>
      <c r="D2" s="27">
        <f>C2*$B$15</f>
        <v/>
      </c>
      <c r="E2" s="13" t="inlineStr">
        <is>
          <t>Verified</t>
        </is>
      </c>
      <c r="F2" s="12" t="inlineStr">
        <is>
          <t>AWS Price List API, ap-south-1 (AmazonEC2, published 2026-09-25)</t>
        </is>
      </c>
    </row>
    <row r="3">
      <c r="A3" s="12" t="inlineStr">
        <is>
          <t>EBS gp3 40 GB</t>
        </is>
      </c>
      <c r="B3" s="12" t="inlineStr">
        <is>
          <t>$0.0912/GB-month × 40 GB</t>
        </is>
      </c>
      <c r="C3" s="26" t="n">
        <v>3.648</v>
      </c>
      <c r="D3" s="27">
        <f>C3*$B$15</f>
        <v/>
      </c>
      <c r="E3" s="13" t="inlineStr">
        <is>
          <t>Verified</t>
        </is>
      </c>
      <c r="F3" s="12" t="inlineStr">
        <is>
          <t>AWS Price List API, ap-south-1 (AmazonEC2/EBS, published 2026-09-25)</t>
        </is>
      </c>
    </row>
    <row r="4">
      <c r="A4" s="12" t="inlineStr">
        <is>
          <t>Public IPv4</t>
        </is>
      </c>
      <c r="B4" s="12" t="inlineStr">
        <is>
          <t>$0.005/h × 730 h (in-use IPv4)</t>
        </is>
      </c>
      <c r="C4" s="26" t="n">
        <v>3.65</v>
      </c>
      <c r="D4" s="27">
        <f>C4*$B$15</f>
        <v/>
      </c>
      <c r="E4" s="13" t="inlineStr">
        <is>
          <t>Verified</t>
        </is>
      </c>
      <c r="F4" s="12" t="inlineStr">
        <is>
          <t>AWS Price List API, ap-south-1 (AmazonVPC, published 2026-09-17)</t>
        </is>
      </c>
    </row>
    <row r="5">
      <c r="A5" s="12" t="inlineStr">
        <is>
          <t>KMS customer-managed keys</t>
        </is>
      </c>
      <c r="B5" s="12" t="inlineStr">
        <is>
          <t>2 keys × $1/month (+$0.03 per 10k requests)</t>
        </is>
      </c>
      <c r="C5" s="26" t="n">
        <v>2</v>
      </c>
      <c r="D5" s="27">
        <f>C5*$B$15</f>
        <v/>
      </c>
      <c r="E5" s="13" t="inlineStr">
        <is>
          <t>Verified</t>
        </is>
      </c>
      <c r="F5" s="12" t="inlineStr">
        <is>
          <t>AWS Price List API, ap-south-1 (awskms, published 2026-09-11)</t>
        </is>
      </c>
    </row>
    <row r="6">
      <c r="A6" s="12" t="inlineStr">
        <is>
          <t>Secrets Manager</t>
        </is>
      </c>
      <c r="B6" s="12" t="inlineStr">
        <is>
          <t>5 secrets × $0.40 (+$0.05 per 10k API calls)</t>
        </is>
      </c>
      <c r="C6" s="26" t="n">
        <v>2</v>
      </c>
      <c r="D6" s="27">
        <f>C6*$B$15</f>
        <v/>
      </c>
      <c r="E6" s="13" t="inlineStr">
        <is>
          <t>Verified</t>
        </is>
      </c>
      <c r="F6" s="12" t="inlineStr">
        <is>
          <t>AWS Price List API, ap-south-1 (AWSSecretsManager, published 2026-09-11)</t>
        </is>
      </c>
    </row>
    <row r="7">
      <c r="A7" s="12" t="inlineStr">
        <is>
          <t>S3 backups + Object Lock</t>
        </is>
      </c>
      <c r="B7" s="12" t="inlineStr">
        <is>
          <t>~15 GB × $0.025/GB-month + requests</t>
        </is>
      </c>
      <c r="C7" s="26" t="n">
        <v>0.6</v>
      </c>
      <c r="D7" s="27">
        <f>C7*$B$15</f>
        <v/>
      </c>
      <c r="E7" s="13" t="inlineStr">
        <is>
          <t>Estimate</t>
        </is>
      </c>
      <c r="F7" s="12" t="inlineStr">
        <is>
          <t>Rate: AWS Price List API, ap-south-1 (AmazonS3 Standard first 50 TB); volume estimated</t>
        </is>
      </c>
    </row>
    <row r="8">
      <c r="A8" s="12" t="inlineStr">
        <is>
          <t>EBS snapshots</t>
        </is>
      </c>
      <c r="B8" s="12" t="inlineStr">
        <is>
          <t>$0.05/GB-month × ~10 GB</t>
        </is>
      </c>
      <c r="C8" s="26" t="n">
        <v>0.5</v>
      </c>
      <c r="D8" s="27">
        <f>C8*$B$15</f>
        <v/>
      </c>
      <c r="E8" s="13" t="inlineStr">
        <is>
          <t>Estimate</t>
        </is>
      </c>
      <c r="F8" s="12" t="inlineStr">
        <is>
          <t>Rate: AWS Price List API, ap-south-1 (EBS snapshots, 2026-09-25); size estimated</t>
        </is>
      </c>
    </row>
    <row r="9">
      <c r="A9" s="12" t="inlineStr">
        <is>
          <t>CloudWatch Logs</t>
        </is>
      </c>
      <c r="B9" s="12" t="inlineStr">
        <is>
          <t>&lt; 1 GB: $0.67/GB ingest + $0.03/GB-month</t>
        </is>
      </c>
      <c r="C9" s="26" t="n">
        <v>1</v>
      </c>
      <c r="D9" s="27">
        <f>C9*$B$15</f>
        <v/>
      </c>
      <c r="E9" s="13" t="inlineStr">
        <is>
          <t>Estimate</t>
        </is>
      </c>
      <c r="F9" s="12" t="inlineStr">
        <is>
          <t>Rate: AWS Price List API, ap-south-1 (AmazonCloudWatch); volume estimated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8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Bedrock India (expected, 3,000 turns)</t>
        </is>
      </c>
      <c r="B11" s="12" t="inlineStr">
        <is>
          <t>80% Haiku 4.5 / 20% Sonnet 5, +10% regional</t>
        </is>
      </c>
      <c r="C11" s="28" t="n">
        <v>15.9</v>
      </c>
      <c r="D11" s="27">
        <f>C11*$B$15</f>
        <v/>
      </c>
      <c r="E11" s="13" t="inlineStr">
        <is>
          <t>DESIGN.md §21.1; platform.claude.com pricing</t>
        </is>
      </c>
      <c r="F11" s="12" t="n"/>
    </row>
    <row r="13">
      <c r="A13" s="3" t="inlineStr">
        <is>
          <t>Total per month</t>
        </is>
      </c>
      <c r="B13" s="5" t="n"/>
      <c r="C13" s="29">
        <f>SUM(C2:C11)</f>
        <v/>
      </c>
      <c r="D13" s="30">
        <f>SUM(D2:D11)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text-only, Option B (private EC2 + Bedrock). Voice adds ≈ ₹1,580 (local) or ≈ ₹3,040 (AWS) — see DESIGN.md §21.3–21.4.</t>
        </is>
      </c>
    </row>
    <row r="22">
      <c r="A22" s="23" t="inlineStr">
        <is>
          <t>Note: this sheet is the option-B baseline. The E2 (revised) Terraform estimate is on the Resources sheet; switch after D1.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module.network.aws_vpc.this</t>
        </is>
      </c>
      <c r="C2" s="12" t="inlineStr">
        <is>
          <t>VPC</t>
        </is>
      </c>
      <c r="D2" s="12" t="inlineStr">
        <is>
          <t>weekend2-prod-vpc</t>
        </is>
      </c>
      <c r="E2" s="12" t="inlineStr">
        <is>
          <t>network</t>
        </is>
      </c>
      <c r="F2" s="12" t="inlineStr">
        <is>
          <t>ap-south-1</t>
        </is>
      </c>
      <c r="G2" s="12" t="inlineStr">
        <is>
          <t>Private network</t>
        </is>
      </c>
      <c r="H2" s="12" t="inlineStr">
        <is>
          <t>10.20.0.0/16; DNS hostnames on</t>
        </is>
      </c>
      <c r="I2" s="26" t="n">
        <v>0</v>
      </c>
      <c r="J2" s="27">
        <f>I2*Cost!$B$15</f>
        <v/>
      </c>
      <c r="K2" s="12" t="inlineStr">
        <is>
          <t>No charge for VPCs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1</v>
      </c>
    </row>
    <row r="3">
      <c r="A3" s="12" t="n">
        <v>2</v>
      </c>
      <c r="B3" s="12" t="inlineStr">
        <is>
          <t>module.network.aws_default_security_group.this</t>
        </is>
      </c>
      <c r="C3" s="12" t="inlineStr">
        <is>
          <t>Security group</t>
        </is>
      </c>
      <c r="D3" s="12" t="inlineStr">
        <is>
          <t>weekend2-prod-default-sg-locked</t>
        </is>
      </c>
      <c r="E3" s="12" t="inlineStr">
        <is>
          <t>network</t>
        </is>
      </c>
      <c r="F3" s="12" t="inlineStr">
        <is>
          <t>ap-south-1</t>
        </is>
      </c>
      <c r="G3" s="12" t="inlineStr">
        <is>
          <t>Lock the default SG</t>
        </is>
      </c>
      <c r="H3" s="12" t="inlineStr">
        <is>
          <t>No rules at all</t>
        </is>
      </c>
      <c r="I3" s="26" t="n">
        <v>0</v>
      </c>
      <c r="J3" s="27">
        <f>I3*Cost!$B$15</f>
        <v/>
      </c>
      <c r="K3" s="12" t="inlineStr">
        <is>
          <t>No charge</t>
        </is>
      </c>
      <c r="L3" s="13" t="inlineStr">
        <is>
          <t>Verified</t>
        </is>
      </c>
      <c r="M3" s="13" t="inlineStr">
        <is>
          <t>Drafted (not applied)</t>
        </is>
      </c>
      <c r="N3" s="12" t="n">
        <v>1</v>
      </c>
    </row>
    <row r="4">
      <c r="A4" s="12" t="n">
        <v>3</v>
      </c>
      <c r="B4" s="12" t="inlineStr">
        <is>
          <t>module.network.aws_internet_gateway.this</t>
        </is>
      </c>
      <c r="C4" s="12" t="inlineStr">
        <is>
          <t>Internet gateway</t>
        </is>
      </c>
      <c r="D4" s="12" t="inlineStr">
        <is>
          <t>weekend2-prod-igw</t>
        </is>
      </c>
      <c r="E4" s="12" t="inlineStr">
        <is>
          <t>network</t>
        </is>
      </c>
      <c r="F4" s="12" t="inlineStr">
        <is>
          <t>ap-south-1</t>
        </is>
      </c>
      <c r="G4" s="12" t="inlineStr">
        <is>
          <t>Egress for the entry node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 (data transfer separate)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1</v>
      </c>
    </row>
    <row r="5">
      <c r="A5" s="12" t="n">
        <v>4</v>
      </c>
      <c r="B5" s="12" t="inlineStr">
        <is>
          <t>module.network.aws_subnet.public_a</t>
        </is>
      </c>
      <c r="C5" s="12" t="inlineStr">
        <is>
          <t>Subnet</t>
        </is>
      </c>
      <c r="D5" s="12" t="inlineStr">
        <is>
          <t>weekend2-prod-public-a</t>
        </is>
      </c>
      <c r="E5" s="12" t="inlineStr">
        <is>
          <t>network</t>
        </is>
      </c>
      <c r="F5" s="12" t="inlineStr">
        <is>
          <t>ap-south-1a</t>
        </is>
      </c>
      <c r="G5" s="12" t="inlineStr">
        <is>
          <t>Entry node only</t>
        </is>
      </c>
      <c r="H5" s="12" t="inlineStr">
        <is>
          <t>10.20.0.0/24; no auto public IP</t>
        </is>
      </c>
      <c r="I5" s="26" t="n">
        <v>0</v>
      </c>
      <c r="J5" s="27">
        <f>I5*Cost!$B$15</f>
        <v/>
      </c>
      <c r="K5" s="12" t="inlineStr">
        <is>
          <t>No charge</t>
        </is>
      </c>
      <c r="L5" s="13" t="inlineStr">
        <is>
          <t>Verified</t>
        </is>
      </c>
      <c r="M5" s="13" t="inlineStr">
        <is>
          <t>Drafted (not applied)</t>
        </is>
      </c>
      <c r="N5" s="12" t="n">
        <v>1</v>
      </c>
    </row>
    <row r="6">
      <c r="A6" s="12" t="n">
        <v>5</v>
      </c>
      <c r="B6" s="12" t="inlineStr">
        <is>
          <t>module.network.aws_subnet.private["a"]</t>
        </is>
      </c>
      <c r="C6" s="12" t="inlineStr">
        <is>
          <t>Subnet</t>
        </is>
      </c>
      <c r="D6" s="12" t="inlineStr">
        <is>
          <t>weekend2-prod-private-a</t>
        </is>
      </c>
      <c r="E6" s="12" t="inlineStr">
        <is>
          <t>network</t>
        </is>
      </c>
      <c r="F6" s="12" t="inlineStr">
        <is>
          <t>ap-south-1a</t>
        </is>
      </c>
      <c r="G6" s="12" t="inlineStr">
        <is>
          <t>Aurora</t>
        </is>
      </c>
      <c r="H6" s="12" t="inlineStr">
        <is>
          <t>10.20.10.0/24; no internet route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1</v>
      </c>
    </row>
    <row r="7">
      <c r="A7" s="12" t="n">
        <v>6</v>
      </c>
      <c r="B7" s="12" t="inlineStr">
        <is>
          <t>module.network.aws_subnet.private["b"]</t>
        </is>
      </c>
      <c r="C7" s="12" t="inlineStr">
        <is>
          <t>Subnet</t>
        </is>
      </c>
      <c r="D7" s="12" t="inlineStr">
        <is>
          <t>weekend2-prod-private-b</t>
        </is>
      </c>
      <c r="E7" s="12" t="inlineStr">
        <is>
          <t>network</t>
        </is>
      </c>
      <c r="F7" s="12" t="inlineStr">
        <is>
          <t>ap-south-1b</t>
        </is>
      </c>
      <c r="G7" s="12" t="inlineStr">
        <is>
          <t>Aurora (2nd AZ required)</t>
        </is>
      </c>
      <c r="H7" s="12" t="inlineStr">
        <is>
          <t>10.20.11.0/24; no internet route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1</v>
      </c>
    </row>
    <row r="8">
      <c r="A8" s="12" t="n">
        <v>7</v>
      </c>
      <c r="B8" s="12" t="inlineStr">
        <is>
          <t>module.network.aws_route_table.public</t>
        </is>
      </c>
      <c r="C8" s="12" t="inlineStr">
        <is>
          <t>Route table</t>
        </is>
      </c>
      <c r="D8" s="12" t="inlineStr">
        <is>
          <t>weekend2-prod-public-rt</t>
        </is>
      </c>
      <c r="E8" s="12" t="inlineStr">
        <is>
          <t>network</t>
        </is>
      </c>
      <c r="F8" s="12" t="inlineStr">
        <is>
          <t>ap-south-1</t>
        </is>
      </c>
      <c r="G8" s="12" t="inlineStr">
        <is>
          <t>Public routing</t>
        </is>
      </c>
      <c r="H8" s="12" t="inlineStr">
        <is>
          <t>0.0.0.0/0 → IGW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1</v>
      </c>
    </row>
    <row r="9">
      <c r="A9" s="12" t="n">
        <v>8</v>
      </c>
      <c r="B9" s="12" t="inlineStr">
        <is>
          <t>module.network.aws_route_table.private</t>
        </is>
      </c>
      <c r="C9" s="12" t="inlineStr">
        <is>
          <t>Route table</t>
        </is>
      </c>
      <c r="D9" s="12" t="inlineStr">
        <is>
          <t>weekend2-prod-private-rt</t>
        </is>
      </c>
      <c r="E9" s="12" t="inlineStr">
        <is>
          <t>network</t>
        </is>
      </c>
      <c r="F9" s="12" t="inlineStr">
        <is>
          <t>ap-south-1</t>
        </is>
      </c>
      <c r="G9" s="12" t="inlineStr">
        <is>
          <t>Private routing</t>
        </is>
      </c>
      <c r="H9" s="12" t="inlineStr">
        <is>
          <t>Local routes only; no NAT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1</v>
      </c>
    </row>
    <row r="10">
      <c r="A10" s="12" t="n">
        <v>9</v>
      </c>
      <c r="B10" s="12" t="inlineStr">
        <is>
          <t>module.kms.aws_kms_key.data</t>
        </is>
      </c>
      <c r="C10" s="12" t="inlineStr">
        <is>
          <t>KMS key (CMK)</t>
        </is>
      </c>
      <c r="D10" s="12" t="inlineStr">
        <is>
          <t>weekend2-prod-data</t>
        </is>
      </c>
      <c r="E10" s="12" t="inlineStr">
        <is>
          <t>kms</t>
        </is>
      </c>
      <c r="F10" s="12" t="inlineStr">
        <is>
          <t>ap-south-1</t>
        </is>
      </c>
      <c r="G10" s="12" t="inlineStr">
        <is>
          <t>Encrypts Aurora, secrets, logs, EBS, S3 (P3)</t>
        </is>
      </c>
      <c r="H10" s="12" t="inlineStr">
        <is>
          <t>Rotation 365 d; 30 d deletion window</t>
        </is>
      </c>
      <c r="I10" s="26" t="n">
        <v>1</v>
      </c>
      <c r="J10" s="27">
        <f>I10*Cost!$B$15</f>
        <v/>
      </c>
      <c r="K10" s="12" t="inlineStr">
        <is>
          <t>$1/key-month (AWS Price List API ap-south-1 2026-09-11)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1</v>
      </c>
    </row>
    <row r="11">
      <c r="A11" s="12" t="n">
        <v>10</v>
      </c>
      <c r="B11" s="12" t="inlineStr">
        <is>
          <t>module.kms.aws_kms_alias.data</t>
        </is>
      </c>
      <c r="C11" s="12" t="inlineStr">
        <is>
          <t>KMS alias</t>
        </is>
      </c>
      <c r="D11" s="12" t="inlineStr">
        <is>
          <t>alias/weekend2-prod-data</t>
        </is>
      </c>
      <c r="E11" s="12" t="inlineStr">
        <is>
          <t>kms</t>
        </is>
      </c>
      <c r="F11" s="12" t="inlineStr">
        <is>
          <t>ap-south-1</t>
        </is>
      </c>
      <c r="G11" s="12" t="inlineStr">
        <is>
          <t>Friendly key name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1</v>
      </c>
    </row>
    <row r="12">
      <c r="A12" s="12" t="n">
        <v>11</v>
      </c>
      <c r="B12" s="12" t="inlineStr">
        <is>
          <t>module.secrets.aws_secretsmanager_secret.this["tailscale/authkey"]</t>
        </is>
      </c>
      <c r="C12" s="12" t="inlineStr">
        <is>
          <t>Secret</t>
        </is>
      </c>
      <c r="D12" s="12" t="inlineStr">
        <is>
          <t>weekend2-prod/tailscale/authkey</t>
        </is>
      </c>
      <c r="E12" s="12" t="inlineStr">
        <is>
          <t>secrets</t>
        </is>
      </c>
      <c r="F12" s="12" t="inlineStr">
        <is>
          <t>ap-south-1</t>
        </is>
      </c>
      <c r="G12" s="12" t="inlineStr">
        <is>
          <t>Entry node joins tailnet (P4)</t>
        </is>
      </c>
      <c r="H12" s="12" t="inlineStr">
        <is>
          <t>KMS; 7-day recovery</t>
        </is>
      </c>
      <c r="I12" s="26" t="n">
        <v>0.4</v>
      </c>
      <c r="J12" s="27">
        <f>I12*Cost!$B$15</f>
        <v/>
      </c>
      <c r="K12" s="12" t="inlineStr">
        <is>
          <t>$0.40/secret-month (AWS Price List API ap-south-1 2026-09-11)</t>
        </is>
      </c>
      <c r="L12" s="13" t="inlineStr">
        <is>
          <t>Verified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module.secrets.aws_secretsmanager_secret.this["app/session-signing-key"]</t>
        </is>
      </c>
      <c r="C13" s="12" t="inlineStr">
        <is>
          <t>Secret</t>
        </is>
      </c>
      <c r="D13" s="12" t="inlineStr">
        <is>
          <t>weekend2-prod/app/session-signing-key</t>
        </is>
      </c>
      <c r="E13" s="12" t="inlineStr">
        <is>
          <t>secrets</t>
        </is>
      </c>
      <c r="F13" s="12" t="inlineStr">
        <is>
          <t>ap-south-1</t>
        </is>
      </c>
      <c r="G13" s="12" t="inlineStr">
        <is>
          <t>Passkey session cookies</t>
        </is>
      </c>
      <c r="H13" s="12" t="inlineStr">
        <is>
          <t>KMS</t>
        </is>
      </c>
      <c r="I13" s="26" t="n">
        <v>0.4</v>
      </c>
      <c r="J13" s="27">
        <f>I13*Cost!$B$15</f>
        <v/>
      </c>
      <c r="K13" s="12" t="inlineStr">
        <is>
          <t>$0.40/secret-month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module.secrets.aws_secretsmanager_secret.this["connectors/google-oauth-client"]</t>
        </is>
      </c>
      <c r="C14" s="12" t="inlineStr">
        <is>
          <t>Secret</t>
        </is>
      </c>
      <c r="D14" s="12" t="inlineStr">
        <is>
          <t>weekend2-prod/connectors/google-oauth-client</t>
        </is>
      </c>
      <c r="E14" s="12" t="inlineStr">
        <is>
          <t>secrets</t>
        </is>
      </c>
      <c r="F14" s="12" t="inlineStr">
        <is>
          <t>ap-south-1</t>
        </is>
      </c>
      <c r="G14" s="12" t="inlineStr">
        <is>
          <t>Calendar/Gmail connectors</t>
        </is>
      </c>
      <c r="H14" s="12" t="inlineStr">
        <is>
          <t>KMS; value set in Phase 3</t>
        </is>
      </c>
      <c r="I14" s="26" t="n">
        <v>0.4</v>
      </c>
      <c r="J14" s="27">
        <f>I14*Cost!$B$15</f>
        <v/>
      </c>
      <c r="K14" s="12" t="inlineStr">
        <is>
          <t>$0.40/secret-month</t>
        </is>
      </c>
      <c r="L14" s="13" t="inlineStr">
        <is>
          <t>Verified</t>
        </is>
      </c>
      <c r="M14" s="13" t="inlineStr">
        <is>
          <t>Drafted (not applied)</t>
        </is>
      </c>
      <c r="N14" s="12" t="n">
        <v>3</v>
      </c>
    </row>
    <row r="15">
      <c r="A15" s="12" t="n">
        <v>14</v>
      </c>
      <c r="B15" s="12" t="inlineStr">
        <is>
          <t>(RDS-managed, via aws_rds_cluster)</t>
        </is>
      </c>
      <c r="C15" s="12" t="inlineStr">
        <is>
          <t>Secret</t>
        </is>
      </c>
      <c r="D15" s="12" t="inlineStr">
        <is>
          <t>rds!cluster-&lt;id&gt; (auto-named)</t>
        </is>
      </c>
      <c r="E15" s="12" t="inlineStr">
        <is>
          <t>database</t>
        </is>
      </c>
      <c r="F15" s="12" t="inlineStr">
        <is>
          <t>ap-south-1</t>
        </is>
      </c>
      <c r="G15" s="12" t="inlineStr">
        <is>
          <t>Aurora master password, rotated by RDS</t>
        </is>
      </c>
      <c r="H15" s="12" t="inlineStr">
        <is>
          <t>KMS CMK</t>
        </is>
      </c>
      <c r="I15" s="26" t="n">
        <v>0.4</v>
      </c>
      <c r="J15" s="27">
        <f>I15*Cost!$B$15</f>
        <v/>
      </c>
      <c r="K15" s="12" t="inlineStr">
        <is>
          <t>$0.40/secret-month</t>
        </is>
      </c>
      <c r="L15" s="13" t="inlineStr">
        <is>
          <t>Verified</t>
        </is>
      </c>
      <c r="M15" s="13" t="inlineStr">
        <is>
          <t>Drafted (not applied)</t>
        </is>
      </c>
      <c r="N15" s="12" t="n">
        <v>1</v>
      </c>
    </row>
    <row r="16">
      <c r="A16" s="12" t="n">
        <v>15</v>
      </c>
      <c r="B16" s="12" t="inlineStr">
        <is>
          <t>module.database.aws_db_subnet_group.this</t>
        </is>
      </c>
      <c r="C16" s="12" t="inlineStr">
        <is>
          <t>DB subnet group</t>
        </is>
      </c>
      <c r="D16" s="12" t="inlineStr">
        <is>
          <t>weekend2-prod-aurora-subnets</t>
        </is>
      </c>
      <c r="E16" s="12" t="inlineStr">
        <is>
          <t>database</t>
        </is>
      </c>
      <c r="F16" s="12" t="inlineStr">
        <is>
          <t>ap-south-1a/1b</t>
        </is>
      </c>
      <c r="G16" s="12" t="inlineStr">
        <is>
          <t>Aurora placement</t>
        </is>
      </c>
      <c r="H16" s="12" t="inlineStr">
        <is>
          <t>private-a + private-b</t>
        </is>
      </c>
      <c r="I16" s="26" t="n">
        <v>0</v>
      </c>
      <c r="J16" s="27">
        <f>I16*Cost!$B$15</f>
        <v/>
      </c>
      <c r="K16" s="12" t="inlineStr">
        <is>
          <t>No charge</t>
        </is>
      </c>
      <c r="L16" s="13" t="inlineStr">
        <is>
          <t>Verified</t>
        </is>
      </c>
      <c r="M16" s="13" t="inlineStr">
        <is>
          <t>Drafted (not applied)</t>
        </is>
      </c>
      <c r="N16" s="12" t="n">
        <v>1</v>
      </c>
    </row>
    <row r="17">
      <c r="A17" s="12" t="n">
        <v>16</v>
      </c>
      <c r="B17" s="12" t="inlineStr">
        <is>
          <t>module.database.aws_security_group.aurora</t>
        </is>
      </c>
      <c r="C17" s="12" t="inlineStr">
        <is>
          <t>Security group</t>
        </is>
      </c>
      <c r="D17" s="12" t="inlineStr">
        <is>
          <t>weekend2-prod-aurora-sg</t>
        </is>
      </c>
      <c r="E17" s="12" t="inlineStr">
        <is>
          <t>database</t>
        </is>
      </c>
      <c r="F17" s="12" t="inlineStr">
        <is>
          <t>ap-south-1</t>
        </is>
      </c>
      <c r="G17" s="12" t="inlineStr">
        <is>
          <t>No network access</t>
        </is>
      </c>
      <c r="H17" s="12" t="inlineStr">
        <is>
          <t>No ingress; Data API only</t>
        </is>
      </c>
      <c r="I17" s="26" t="n">
        <v>0</v>
      </c>
      <c r="J17" s="27">
        <f>I17*Cost!$B$15</f>
        <v/>
      </c>
      <c r="K17" s="12" t="inlineStr">
        <is>
          <t>No charge</t>
        </is>
      </c>
      <c r="L17" s="13" t="inlineStr">
        <is>
          <t>Verified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module.database.aws_rds_cluster.this</t>
        </is>
      </c>
      <c r="C18" s="12" t="inlineStr">
        <is>
          <t>Aurora PostgreSQL Serverless v2</t>
        </is>
      </c>
      <c r="D18" s="12" t="inlineStr">
        <is>
          <t>weekend2-prod-aurora</t>
        </is>
      </c>
      <c r="E18" s="12" t="inlineStr">
        <is>
          <t>database</t>
        </is>
      </c>
      <c r="F18" s="12" t="inlineStr">
        <is>
          <t>ap-south-1a/1b</t>
        </is>
      </c>
      <c r="G18" s="12" t="inlineStr">
        <is>
          <t>Conversations, memories (pgvector)</t>
        </is>
      </c>
      <c r="H18" s="12" t="inlineStr">
        <is>
          <t>0–2 ACU; auto-pause 300 s; Data API; KMS; deletion protection; 7-day backups</t>
        </is>
      </c>
      <c r="I18" s="26" t="n">
        <v>16.2</v>
      </c>
      <c r="J18" s="27">
        <f>I18*Cost!$B$15</f>
        <v/>
      </c>
      <c r="K18" s="12" t="inlineStr">
        <is>
          <t>$0.18/ACU-h (AWS Price List API ap-south-1) × 0.5 ACU × ~6 h/day × 30 — hours ESTIMATED</t>
        </is>
      </c>
      <c r="L18" s="13" t="inlineStr">
        <is>
          <t>Rate verified; usage 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module.database.aws_rds_cluster_instance.writer</t>
        </is>
      </c>
      <c r="C19" s="12" t="inlineStr">
        <is>
          <t>DB instance</t>
        </is>
      </c>
      <c r="D19" s="12" t="inlineStr">
        <is>
          <t>weekend2-prod-aurora-1</t>
        </is>
      </c>
      <c r="E19" s="12" t="inlineStr">
        <is>
          <t>database</t>
        </is>
      </c>
      <c r="F19" s="12" t="inlineStr">
        <is>
          <t>ap-south-1</t>
        </is>
      </c>
      <c r="G19" s="12" t="inlineStr">
        <is>
          <t>Writer</t>
        </is>
      </c>
      <c r="H19" s="12" t="inlineStr">
        <is>
          <t>db.serverless; not public</t>
        </is>
      </c>
      <c r="I19" s="26" t="n">
        <v>0</v>
      </c>
      <c r="J19" s="27">
        <f>I19*Cost!$B$15</f>
        <v/>
      </c>
      <c r="K19" s="12" t="inlineStr">
        <is>
          <t>Billed as cluster ACU</t>
        </is>
      </c>
      <c r="L19" s="13" t="inlineStr">
        <is>
          <t>Verified</t>
        </is>
      </c>
      <c r="M19" s="13" t="inlineStr">
        <is>
          <t>Drafted (not applied)</t>
        </is>
      </c>
      <c r="N19" s="12" t="n">
        <v>1</v>
      </c>
    </row>
    <row r="20">
      <c r="A20" s="12" t="n">
        <v>19</v>
      </c>
      <c r="B20" s="12" t="inlineStr">
        <is>
          <t>(Aurora storage + I/O)</t>
        </is>
      </c>
      <c r="C20" s="12" t="inlineStr">
        <is>
          <t>Storage</t>
        </is>
      </c>
      <c r="D20" s="12" t="inlineStr">
        <is>
          <t>—</t>
        </is>
      </c>
      <c r="E20" s="12" t="inlineStr">
        <is>
          <t>database</t>
        </is>
      </c>
      <c r="F20" s="12" t="inlineStr">
        <is>
          <t>ap-south-1</t>
        </is>
      </c>
      <c r="G20" s="12" t="inlineStr">
        <is>
          <t>Data at rest</t>
        </is>
      </c>
      <c r="H20" s="12" t="inlineStr">
        <is>
          <t>Encrypted</t>
        </is>
      </c>
      <c r="I20" s="26" t="n">
        <v>0.44</v>
      </c>
      <c r="J20" s="27">
        <f>I20*Cost!$B$15</f>
        <v/>
      </c>
      <c r="K20" s="12" t="inlineStr">
        <is>
          <t>~2 GB × $0.11/GB-mo + ~1M I/O × $0.22/M (rates verified)</t>
        </is>
      </c>
      <c r="L20" s="13" t="inlineStr">
        <is>
          <t>Rate verified; volume estimate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module.app.aws_lambda_function.api</t>
        </is>
      </c>
      <c r="C21" s="12" t="inlineStr">
        <is>
          <t>Lambda</t>
        </is>
      </c>
      <c r="D21" s="12" t="inlineStr">
        <is>
          <t>weekend2-prod-api</t>
        </is>
      </c>
      <c r="E21" s="12" t="inlineStr">
        <is>
          <t>app</t>
        </is>
      </c>
      <c r="F21" s="12" t="inlineStr">
        <is>
          <t>ap-south-1</t>
        </is>
      </c>
      <c r="G21" s="12" t="inlineStr">
        <is>
          <t>Chat, voice, memory API</t>
        </is>
      </c>
      <c r="H21" s="12" t="inlineStr">
        <is>
          <t>python3.14; arm64; 1024 MB; 60 s; KMS env</t>
        </is>
      </c>
      <c r="I21" s="26" t="n">
        <v>0</v>
      </c>
      <c r="J21" s="27">
        <f>I21*Cost!$B$15</f>
        <v/>
      </c>
      <c r="K21" s="12" t="inlineStr">
        <is>
          <t>Within free tier (1M req + 400k GB-s/mo); beyond: $0.0000133334/GB-s ARM (verified)</t>
        </is>
      </c>
      <c r="L21" s="13" t="inlineStr">
        <is>
          <t>Rate verified; free tier Not 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module.app.aws_lambda_function_url.api</t>
        </is>
      </c>
      <c r="C22" s="12" t="inlineStr">
        <is>
          <t>Lambda Function URL</t>
        </is>
      </c>
      <c r="D22" s="12" t="inlineStr">
        <is>
          <t>weekend2-prod-api (URL)</t>
        </is>
      </c>
      <c r="E22" s="12" t="inlineStr">
        <is>
          <t>app</t>
        </is>
      </c>
      <c r="F22" s="12" t="inlineStr">
        <is>
          <t>ap-south-1</t>
        </is>
      </c>
      <c r="G22" s="12" t="inlineStr">
        <is>
          <t>Private entry for the API</t>
        </is>
      </c>
      <c r="H22" s="12" t="inlineStr">
        <is>
          <t>AWS_IAM auth; BUFFERED (Python cannot stream natively; Web Adapter = Phase 1)</t>
        </is>
      </c>
      <c r="I22" s="26" t="n">
        <v>0</v>
      </c>
      <c r="J22" s="27">
        <f>I22*Cost!$B$15</f>
        <v/>
      </c>
      <c r="K22" s="12" t="inlineStr">
        <is>
          <t>No charge</t>
        </is>
      </c>
      <c r="L22" s="13" t="inlineStr">
        <is>
          <t>Verified</t>
        </is>
      </c>
      <c r="M22" s="13" t="inlineStr">
        <is>
          <t>Drafted (not applied)</t>
        </is>
      </c>
      <c r="N22" s="12" t="n">
        <v>1</v>
      </c>
    </row>
    <row r="23">
      <c r="A23" s="12" t="n">
        <v>22</v>
      </c>
      <c r="B23" s="12" t="inlineStr">
        <is>
          <t>module.app.aws_iam_role.api</t>
        </is>
      </c>
      <c r="C23" s="12" t="inlineStr">
        <is>
          <t>IAM role</t>
        </is>
      </c>
      <c r="D23" s="12" t="inlineStr">
        <is>
          <t>weekend2-prod-api-role</t>
        </is>
      </c>
      <c r="E23" s="12" t="inlineStr">
        <is>
          <t>app</t>
        </is>
      </c>
      <c r="F23" s="12" t="inlineStr">
        <is>
          <t>global</t>
        </is>
      </c>
      <c r="G23" s="12" t="inlineStr">
        <is>
          <t>API permissions</t>
        </is>
      </c>
      <c r="H23" s="12" t="inlineStr">
        <is>
          <t>Data API, own secrets, KMS, Bedrock in.*, reminder schedules</t>
        </is>
      </c>
      <c r="I23" s="26" t="n">
        <v>0</v>
      </c>
      <c r="J23" s="27">
        <f>I23*Cost!$B$15</f>
        <v/>
      </c>
      <c r="K23" s="12" t="inlineStr">
        <is>
          <t>No charge</t>
        </is>
      </c>
      <c r="L23" s="13" t="inlineStr">
        <is>
          <t>Verified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module.app.aws_cloudwatch_log_group.api</t>
        </is>
      </c>
      <c r="C24" s="12" t="inlineStr">
        <is>
          <t>Log group</t>
        </is>
      </c>
      <c r="D24" s="12" t="inlineStr">
        <is>
          <t>/aws/lambda/weekend2-prod-api</t>
        </is>
      </c>
      <c r="E24" s="12" t="inlineStr">
        <is>
          <t>app</t>
        </is>
      </c>
      <c r="F24" s="12" t="inlineStr">
        <is>
          <t>ap-south-1</t>
        </is>
      </c>
      <c r="G24" s="12" t="inlineStr">
        <is>
          <t>API logs (no message content)</t>
        </is>
      </c>
      <c r="H24" s="12" t="inlineStr">
        <is>
          <t>14 days; KMS; JSON</t>
        </is>
      </c>
      <c r="I24" s="26" t="n">
        <v>0.5</v>
      </c>
      <c r="J24" s="27">
        <f>I24*Cost!$B$15</f>
        <v/>
      </c>
      <c r="K24" s="12" t="inlineStr">
        <is>
          <t>$0.67/GB ingest + $0.03/GB-mo (verified); volume estimate</t>
        </is>
      </c>
      <c r="L24" s="13" t="inlineStr">
        <is>
          <t>Estimate</t>
        </is>
      </c>
      <c r="M24" s="13" t="inlineStr">
        <is>
          <t>Drafted (not applied)</t>
        </is>
      </c>
      <c r="N24" s="12" t="n">
        <v>1</v>
      </c>
    </row>
    <row r="25">
      <c r="A25" s="12" t="n">
        <v>24</v>
      </c>
      <c r="B25" s="12" t="inlineStr">
        <is>
          <t>module.app.aws_lambda_function.worker</t>
        </is>
      </c>
      <c r="C25" s="12" t="inlineStr">
        <is>
          <t>Lambda</t>
        </is>
      </c>
      <c r="D25" s="12" t="inlineStr">
        <is>
          <t>weekend2-prod-worker</t>
        </is>
      </c>
      <c r="E25" s="12" t="inlineStr">
        <is>
          <t>app</t>
        </is>
      </c>
      <c r="F25" s="12" t="inlineStr">
        <is>
          <t>ap-south-1</t>
        </is>
      </c>
      <c r="G25" s="12" t="inlineStr">
        <is>
          <t>Scheduled jobs</t>
        </is>
      </c>
      <c r="H25" s="12" t="inlineStr">
        <is>
          <t>python3.14; arm64; 512 MB; 300 s</t>
        </is>
      </c>
      <c r="I25" s="26" t="n">
        <v>0</v>
      </c>
      <c r="J25" s="27">
        <f>I25*Cost!$B$15</f>
        <v/>
      </c>
      <c r="K25" s="12" t="inlineStr">
        <is>
          <t>Within free tier</t>
        </is>
      </c>
      <c r="L25" s="13" t="inlineStr">
        <is>
          <t>Rate verified; free tier Not verified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module.app.aws_iam_role.worker</t>
        </is>
      </c>
      <c r="C26" s="12" t="inlineStr">
        <is>
          <t>IAM role</t>
        </is>
      </c>
      <c r="D26" s="12" t="inlineStr">
        <is>
          <t>weekend2-prod-worker-role</t>
        </is>
      </c>
      <c r="E26" s="12" t="inlineStr">
        <is>
          <t>app</t>
        </is>
      </c>
      <c r="F26" s="12" t="inlineStr">
        <is>
          <t>global</t>
        </is>
      </c>
      <c r="G26" s="12" t="inlineStr">
        <is>
          <t>Worker permissions</t>
        </is>
      </c>
      <c r="H26" s="12" t="inlineStr">
        <is>
          <t>Data API, secrets, KMS, backup bucket</t>
        </is>
      </c>
      <c r="I26" s="26" t="n">
        <v>0</v>
      </c>
      <c r="J26" s="27">
        <f>I26*Cost!$B$15</f>
        <v/>
      </c>
      <c r="K26" s="12" t="inlineStr">
        <is>
          <t>No charge</t>
        </is>
      </c>
      <c r="L26" s="13" t="inlineStr">
        <is>
          <t>Verified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module.app.aws_cloudwatch_log_group.worker</t>
        </is>
      </c>
      <c r="C27" s="12" t="inlineStr">
        <is>
          <t>Log group</t>
        </is>
      </c>
      <c r="D27" s="12" t="inlineStr">
        <is>
          <t>/aws/lambda/weekend2-prod-worker</t>
        </is>
      </c>
      <c r="E27" s="12" t="inlineStr">
        <is>
          <t>app</t>
        </is>
      </c>
      <c r="F27" s="12" t="inlineStr">
        <is>
          <t>ap-south-1</t>
        </is>
      </c>
      <c r="G27" s="12" t="inlineStr">
        <is>
          <t>Worker logs</t>
        </is>
      </c>
      <c r="H27" s="12" t="inlineStr">
        <is>
          <t>14 days; KMS</t>
        </is>
      </c>
      <c r="I27" s="26" t="n">
        <v>0.25</v>
      </c>
      <c r="J27" s="27">
        <f>I27*Cost!$B$15</f>
        <v/>
      </c>
      <c r="K27" s="12" t="inlineStr">
        <is>
          <t>$0.67/GB ingest; volume estimate</t>
        </is>
      </c>
      <c r="L27" s="13" t="inlineStr">
        <is>
          <t>Estimate</t>
        </is>
      </c>
      <c r="M27" s="13" t="inlineStr">
        <is>
          <t>Drafted (not applied)</t>
        </is>
      </c>
      <c r="N27" s="12" t="n">
        <v>3</v>
      </c>
    </row>
    <row r="28">
      <c r="A28" s="12" t="n">
        <v>27</v>
      </c>
      <c r="B28" s="12" t="inlineStr">
        <is>
          <t>module.scheduler.aws_scheduler_schedule_group.this</t>
        </is>
      </c>
      <c r="C28" s="12" t="inlineStr">
        <is>
          <t>Schedule group</t>
        </is>
      </c>
      <c r="D28" s="12" t="inlineStr">
        <is>
          <t>weekend2-prod</t>
        </is>
      </c>
      <c r="E28" s="12" t="inlineStr">
        <is>
          <t>scheduler</t>
        </is>
      </c>
      <c r="F28" s="12" t="inlineStr">
        <is>
          <t>ap-south-1</t>
        </is>
      </c>
      <c r="G28" s="12" t="inlineStr">
        <is>
          <t>Holds daily + reminder schedules</t>
        </is>
      </c>
      <c r="H28" s="12" t="inlineStr">
        <is>
          <t>—</t>
        </is>
      </c>
      <c r="I28" s="26" t="n">
        <v>0</v>
      </c>
      <c r="J28" s="27">
        <f>I28*Cost!$B$15</f>
        <v/>
      </c>
      <c r="K28" s="12" t="inlineStr">
        <is>
          <t>No charge</t>
        </is>
      </c>
      <c r="L28" s="13" t="inlineStr">
        <is>
          <t>Verified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module.scheduler.aws_scheduler_schedule.daily["retention"]</t>
        </is>
      </c>
      <c r="C29" s="12" t="inlineStr">
        <is>
          <t>Schedule</t>
        </is>
      </c>
      <c r="D29" s="12" t="inlineStr">
        <is>
          <t>weekend2-prod-retention-daily</t>
        </is>
      </c>
      <c r="E29" s="12" t="inlineStr">
        <is>
          <t>scheduler</t>
        </is>
      </c>
      <c r="F29" s="12" t="inlineStr">
        <is>
          <t>ap-south-1</t>
        </is>
      </c>
      <c r="G29" s="12" t="inlineStr">
        <is>
          <t>Retention cleanup (P5)</t>
        </is>
      </c>
      <c r="H29" s="12" t="inlineStr">
        <is>
          <t>cron 03:00 Asia/Kolkata</t>
        </is>
      </c>
      <c r="I29" s="26" t="n">
        <v>0</v>
      </c>
      <c r="J29" s="27">
        <f>I29*Cost!$B$15</f>
        <v/>
      </c>
      <c r="K29" s="12" t="inlineStr">
        <is>
          <t>Free tier 14M invocations/mo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3</v>
      </c>
    </row>
    <row r="30">
      <c r="A30" s="12" t="n">
        <v>29</v>
      </c>
      <c r="B30" s="12" t="inlineStr">
        <is>
          <t>module.scheduler.aws_scheduler_schedule.daily["export"]</t>
        </is>
      </c>
      <c r="C30" s="12" t="inlineStr">
        <is>
          <t>Schedule</t>
        </is>
      </c>
      <c r="D30" s="12" t="inlineStr">
        <is>
          <t>weekend2-prod-export-daily</t>
        </is>
      </c>
      <c r="E30" s="12" t="inlineStr">
        <is>
          <t>scheduler</t>
        </is>
      </c>
      <c r="F30" s="12" t="inlineStr">
        <is>
          <t>ap-south-1</t>
        </is>
      </c>
      <c r="G30" s="12" t="inlineStr">
        <is>
          <t>Encrypted export (P6/P10)</t>
        </is>
      </c>
      <c r="H30" s="12" t="inlineStr">
        <is>
          <t>cron 03:30 Asia/Kolkata</t>
        </is>
      </c>
      <c r="I30" s="26" t="n">
        <v>0</v>
      </c>
      <c r="J30" s="27">
        <f>I30*Cost!$B$15</f>
        <v/>
      </c>
      <c r="K30" s="12" t="inlineStr">
        <is>
          <t>Free tier 14M invocations/mo</t>
        </is>
      </c>
      <c r="L30" s="13" t="inlineStr">
        <is>
          <t>Not verified</t>
        </is>
      </c>
      <c r="M30" s="13" t="inlineStr">
        <is>
          <t>Drafted (not applied)</t>
        </is>
      </c>
      <c r="N30" s="12" t="n">
        <v>3</v>
      </c>
    </row>
    <row r="31">
      <c r="A31" s="12" t="n">
        <v>30</v>
      </c>
      <c r="B31" s="12" t="inlineStr">
        <is>
          <t>module.scheduler.aws_iam_role.scheduler</t>
        </is>
      </c>
      <c r="C31" s="12" t="inlineStr">
        <is>
          <t>IAM role</t>
        </is>
      </c>
      <c r="D31" s="12" t="inlineStr">
        <is>
          <t>weekend2-prod-scheduler-role</t>
        </is>
      </c>
      <c r="E31" s="12" t="inlineStr">
        <is>
          <t>scheduler</t>
        </is>
      </c>
      <c r="F31" s="12" t="inlineStr">
        <is>
          <t>global</t>
        </is>
      </c>
      <c r="G31" s="12" t="inlineStr">
        <is>
          <t>Scheduler → worker</t>
        </is>
      </c>
      <c r="H31" s="12" t="inlineStr">
        <is>
          <t>lambda:InvokeFunction on worker only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2</v>
      </c>
    </row>
    <row r="32">
      <c r="A32" s="12" t="n">
        <v>31</v>
      </c>
      <c r="B32" s="12" t="inlineStr">
        <is>
          <t>module.entry_node.aws_instance.this</t>
        </is>
      </c>
      <c r="C32" s="12" t="inlineStr">
        <is>
          <t>EC2 t4g.nano</t>
        </is>
      </c>
      <c r="D32" s="12" t="inlineStr">
        <is>
          <t>weekend2-prod-entry (tailnet: node-a1)</t>
        </is>
      </c>
      <c r="E32" s="12" t="inlineStr">
        <is>
          <t>entry_node</t>
        </is>
      </c>
      <c r="F32" s="12" t="inlineStr">
        <is>
          <t>ap-south-1a</t>
        </is>
      </c>
      <c r="G32" s="12" t="inlineStr">
        <is>
          <t>Only server: tailnet entry + SigV4 forwarder</t>
        </is>
      </c>
      <c r="H32" s="12" t="inlineStr">
        <is>
          <t>AL2023 arm64; IMDSv2; no inbound; SSM; standard credits</t>
        </is>
      </c>
      <c r="I32" s="26" t="n">
        <v>2.044</v>
      </c>
      <c r="J32" s="27">
        <f>I32*Cost!$B$15</f>
        <v/>
      </c>
      <c r="K32" s="12" t="inlineStr">
        <is>
          <t>$0.0028/h × 730 (AWS Price List API ap-south-1 2026-09-25)</t>
        </is>
      </c>
      <c r="L32" s="13" t="inlineStr">
        <is>
          <t>Verified</t>
        </is>
      </c>
      <c r="M32" s="13" t="inlineStr">
        <is>
          <t>Drafted (not applied)</t>
        </is>
      </c>
      <c r="N32" s="12" t="n">
        <v>2</v>
      </c>
    </row>
    <row r="33">
      <c r="A33" s="12" t="n">
        <v>32</v>
      </c>
      <c r="B33" s="12" t="inlineStr">
        <is>
          <t>(root_block_device of aws_instance.this)</t>
        </is>
      </c>
      <c r="C33" s="12" t="inlineStr">
        <is>
          <t>EBS gp3 8 GB</t>
        </is>
      </c>
      <c r="D33" s="12" t="inlineStr">
        <is>
          <t>—</t>
        </is>
      </c>
      <c r="E33" s="12" t="inlineStr">
        <is>
          <t>entry_node</t>
        </is>
      </c>
      <c r="F33" s="12" t="inlineStr">
        <is>
          <t>ap-south-1a</t>
        </is>
      </c>
      <c r="G33" s="12" t="inlineStr">
        <is>
          <t>Root disk</t>
        </is>
      </c>
      <c r="H33" s="12" t="inlineStr">
        <is>
          <t>Encrypted with CMK</t>
        </is>
      </c>
      <c r="I33" s="26" t="n">
        <v>0.73</v>
      </c>
      <c r="J33" s="27">
        <f>I33*Cost!$B$15</f>
        <v/>
      </c>
      <c r="K33" s="12" t="inlineStr">
        <is>
          <t>$0.0912/GB-mo × 8 (2026-09-25)</t>
        </is>
      </c>
      <c r="L33" s="13" t="inlineStr">
        <is>
          <t>Verified</t>
        </is>
      </c>
      <c r="M33" s="13" t="inlineStr">
        <is>
          <t>Drafted (not applied)</t>
        </is>
      </c>
      <c r="N33" s="12" t="n">
        <v>2</v>
      </c>
    </row>
    <row r="34">
      <c r="A34" s="12" t="n">
        <v>33</v>
      </c>
      <c r="B34" s="12" t="inlineStr">
        <is>
          <t>(associate_public_ip_address)</t>
        </is>
      </c>
      <c r="C34" s="12" t="inlineStr">
        <is>
          <t>Public IPv4</t>
        </is>
      </c>
      <c r="D34" s="12" t="inlineStr">
        <is>
          <t>—</t>
        </is>
      </c>
      <c r="E34" s="12" t="inlineStr">
        <is>
          <t>entry_node</t>
        </is>
      </c>
      <c r="F34" s="12" t="inlineStr">
        <is>
          <t>ap-south-1a</t>
        </is>
      </c>
      <c r="G34" s="12" t="inlineStr">
        <is>
          <t>Egress only (no inbound rules)</t>
        </is>
      </c>
      <c r="H34" s="12" t="inlineStr">
        <is>
          <t>—</t>
        </is>
      </c>
      <c r="I34" s="26" t="n">
        <v>3.65</v>
      </c>
      <c r="J34" s="27">
        <f>I34*Cost!$B$15</f>
        <v/>
      </c>
      <c r="K34" s="12" t="inlineStr">
        <is>
          <t>$0.005/h × 730 (AmazonVPC 2026-09-17)</t>
        </is>
      </c>
      <c r="L34" s="13" t="inlineStr">
        <is>
          <t>Verified</t>
        </is>
      </c>
      <c r="M34" s="13" t="inlineStr">
        <is>
          <t>Drafted (not applied)</t>
        </is>
      </c>
      <c r="N34" s="12" t="n">
        <v>2</v>
      </c>
    </row>
    <row r="35">
      <c r="A35" s="12" t="n">
        <v>34</v>
      </c>
      <c r="B35" s="12" t="inlineStr">
        <is>
          <t>module.entry_node.aws_security_group.entry</t>
        </is>
      </c>
      <c r="C35" s="12" t="inlineStr">
        <is>
          <t>Security group</t>
        </is>
      </c>
      <c r="D35" s="12" t="inlineStr">
        <is>
          <t>weekend2-prod-entry-sg</t>
        </is>
      </c>
      <c r="E35" s="12" t="inlineStr">
        <is>
          <t>entry_node</t>
        </is>
      </c>
      <c r="F35" s="12" t="inlineStr">
        <is>
          <t>ap-south-1</t>
        </is>
      </c>
      <c r="G35" s="12" t="inlineStr">
        <is>
          <t>Egress-only firewall</t>
        </is>
      </c>
      <c r="H35" s="12" t="inlineStr">
        <is>
          <t>Out: 443/tcp, 41641/udp, 3478/udp</t>
        </is>
      </c>
      <c r="I35" s="26" t="n">
        <v>0</v>
      </c>
      <c r="J35" s="27">
        <f>I35*Cost!$B$15</f>
        <v/>
      </c>
      <c r="K35" s="12" t="inlineStr">
        <is>
          <t>No charge</t>
        </is>
      </c>
      <c r="L35" s="13" t="inlineStr">
        <is>
          <t>Verified</t>
        </is>
      </c>
      <c r="M35" s="13" t="inlineStr">
        <is>
          <t>Drafted (not applied)</t>
        </is>
      </c>
      <c r="N35" s="12" t="n">
        <v>2</v>
      </c>
    </row>
    <row r="36">
      <c r="A36" s="12" t="n">
        <v>35</v>
      </c>
      <c r="B36" s="12" t="inlineStr">
        <is>
          <t>module.entry_node.aws_iam_role.entry + instance profile</t>
        </is>
      </c>
      <c r="C36" s="12" t="inlineStr">
        <is>
          <t>IAM role/profile</t>
        </is>
      </c>
      <c r="D36" s="12" t="inlineStr">
        <is>
          <t>weekend2-prod-entry-role / weekend2-prod-entry-profile</t>
        </is>
      </c>
      <c r="E36" s="12" t="inlineStr">
        <is>
          <t>entry_node</t>
        </is>
      </c>
      <c r="F36" s="12" t="inlineStr">
        <is>
          <t>global</t>
        </is>
      </c>
      <c r="G36" s="12" t="inlineStr">
        <is>
          <t>SSM + read Tailscale key + call API URL</t>
        </is>
      </c>
      <c r="H36" s="12" t="inlineStr">
        <is>
          <t>Least privilege</t>
        </is>
      </c>
      <c r="I36" s="26" t="n">
        <v>0</v>
      </c>
      <c r="J36" s="27">
        <f>I36*Cost!$B$15</f>
        <v/>
      </c>
      <c r="K36" s="12" t="inlineStr">
        <is>
          <t>No charge</t>
        </is>
      </c>
      <c r="L36" s="13" t="inlineStr">
        <is>
          <t>Verified</t>
        </is>
      </c>
      <c r="M36" s="13" t="inlineStr">
        <is>
          <t>Drafted (not applied)</t>
        </is>
      </c>
      <c r="N36" s="12" t="n">
        <v>2</v>
      </c>
    </row>
    <row r="37">
      <c r="A37" s="12" t="n">
        <v>36</v>
      </c>
      <c r="B37" s="12" t="inlineStr">
        <is>
          <t>module.backup.aws_s3_bucket.this</t>
        </is>
      </c>
      <c r="C37" s="12" t="inlineStr">
        <is>
          <t>S3 bucket</t>
        </is>
      </c>
      <c r="D37" s="12" t="inlineStr">
        <is>
          <t>weekend2-prod-backups-&lt;account-id&gt;</t>
        </is>
      </c>
      <c r="E37" s="12" t="inlineStr">
        <is>
          <t>backup</t>
        </is>
      </c>
      <c r="F37" s="12" t="inlineStr">
        <is>
          <t>ap-south-1</t>
        </is>
      </c>
      <c r="G37" s="12" t="inlineStr">
        <is>
          <t>Exports, audit copies, restore drills</t>
        </is>
      </c>
      <c r="H37" s="12" t="inlineStr">
        <is>
          <t>Object Lock governance 35 d default; monthly/ 365 d + audit/ 730 d per object; SSE-KMS; versioning; TLS-only; lifecycle</t>
        </is>
      </c>
      <c r="I37" s="26" t="n">
        <v>0.48</v>
      </c>
      <c r="J37" s="27">
        <f>I37*Cost!$B$15</f>
        <v/>
      </c>
      <c r="K37" s="12" t="inlineStr">
        <is>
          <t>~15 GB × $0.025/GB-mo (verified) + requests</t>
        </is>
      </c>
      <c r="L37" s="13" t="inlineStr">
        <is>
          <t>Rate verified; volume estimate</t>
        </is>
      </c>
      <c r="M37" s="13" t="inlineStr">
        <is>
          <t>Drafted (not applied)</t>
        </is>
      </c>
      <c r="N37" s="12" t="n">
        <v>3</v>
      </c>
    </row>
    <row r="38">
      <c r="A38" s="12" t="n">
        <v>37</v>
      </c>
      <c r="B38" s="12" t="inlineStr">
        <is>
          <t>module.budget.aws_budgets_budget.monthly</t>
        </is>
      </c>
      <c r="C38" s="12" t="inlineStr">
        <is>
          <t>AWS Budget</t>
        </is>
      </c>
      <c r="D38" s="12" t="inlineStr">
        <is>
          <t>weekend2-prod-monthly</t>
        </is>
      </c>
      <c r="E38" s="12" t="inlineStr">
        <is>
          <t>budget</t>
        </is>
      </c>
      <c r="F38" s="12" t="inlineStr">
        <is>
          <t>global</t>
        </is>
      </c>
      <c r="G38" s="12" t="inlineStr">
        <is>
          <t>Cost alerts</t>
        </is>
      </c>
      <c r="H38" s="12" t="inlineStr">
        <is>
          <t>USD 52; alerts 50/80/100% + forecast</t>
        </is>
      </c>
      <c r="I38" s="26" t="n">
        <v>0</v>
      </c>
      <c r="J38" s="27">
        <f>I38*Cost!$B$15</f>
        <v/>
      </c>
      <c r="K38" s="12" t="inlineStr">
        <is>
          <t>First 2 budgets free</t>
        </is>
      </c>
      <c r="L38" s="13" t="inlineStr">
        <is>
          <t>Not verified</t>
        </is>
      </c>
      <c r="M38" s="13" t="inlineStr">
        <is>
          <t>Drafted (not applied)</t>
        </is>
      </c>
      <c r="N38" s="12" t="n">
        <v>1</v>
      </c>
    </row>
    <row r="39">
      <c r="A39" s="12" t="n">
        <v>38</v>
      </c>
      <c r="B39" s="12" t="inlineStr">
        <is>
          <t>bootstrap: aws_s3_bucket.tfstate</t>
        </is>
      </c>
      <c r="C39" s="12" t="inlineStr">
        <is>
          <t>S3 bucket</t>
        </is>
      </c>
      <c r="D39" s="12" t="inlineStr">
        <is>
          <t>weekend2-tfstate-&lt;account-id&gt;</t>
        </is>
      </c>
      <c r="E39" s="12" t="inlineStr">
        <is>
          <t>bootstrap</t>
        </is>
      </c>
      <c r="F39" s="12" t="inlineStr">
        <is>
          <t>ap-south-1</t>
        </is>
      </c>
      <c r="G39" s="12" t="inlineStr">
        <is>
          <t>Terraform state + native lock</t>
        </is>
      </c>
      <c r="H39" s="12" t="inlineStr">
        <is>
          <t>Versioning; SSE-KMS; TLS-only; prevent_destroy</t>
        </is>
      </c>
      <c r="I39" s="26" t="n">
        <v>0.01</v>
      </c>
      <c r="J39" s="27">
        <f>I39*Cost!$B$15</f>
        <v/>
      </c>
      <c r="K39" s="12" t="inlineStr">
        <is>
          <t>KB-sized state</t>
        </is>
      </c>
      <c r="L39" s="13" t="inlineStr">
        <is>
          <t>Estimate</t>
        </is>
      </c>
      <c r="M39" s="13" t="inlineStr">
        <is>
          <t>Drafted (not applied)</t>
        </is>
      </c>
      <c r="N39" s="12" t="n">
        <v>0</v>
      </c>
    </row>
    <row r="40">
      <c r="A40" s="12" t="n">
        <v>39</v>
      </c>
      <c r="B40" s="12" t="inlineStr">
        <is>
          <t>(no resource — IAM only)</t>
        </is>
      </c>
      <c r="C40" s="12" t="inlineStr">
        <is>
          <t>Amazon Bedrock usage</t>
        </is>
      </c>
      <c r="D40" s="12" t="inlineStr">
        <is>
          <t>Claude Haiku 4.5 / Sonnet 5 via in.* profiles</t>
        </is>
      </c>
      <c r="E40" s="12" t="inlineStr">
        <is>
          <t>app</t>
        </is>
      </c>
      <c r="F40" s="12" t="inlineStr">
        <is>
          <t>ap-south-1/2</t>
        </is>
      </c>
      <c r="G40" s="12" t="inlineStr">
        <is>
          <t>LLM inference</t>
        </is>
      </c>
      <c r="H40" s="12" t="inlineStr">
        <is>
          <t>India geo; +10% regional premium</t>
        </is>
      </c>
      <c r="I40" s="26" t="n">
        <v>15.9</v>
      </c>
      <c r="J40" s="27">
        <f>I40*Cost!$B$15</f>
        <v/>
      </c>
      <c r="K40" s="12" t="inlineStr">
        <is>
          <t>DESIGN.md §21.1 (expected 3,000 turns)</t>
        </is>
      </c>
      <c r="L40" s="13" t="inlineStr">
        <is>
          <t>Calculated (I-2 open)</t>
        </is>
      </c>
      <c r="M40" s="13" t="inlineStr">
        <is>
          <t>Drafted (not applied)</t>
        </is>
      </c>
      <c r="N40" s="12" t="n">
        <v>1</v>
      </c>
    </row>
    <row r="41">
      <c r="A41" s="12" t="inlineStr">
        <is>
          <t>GST</t>
        </is>
      </c>
      <c r="B41" s="12" t="inlineStr">
        <is>
          <t>(no resource — tax on the AWS bill)</t>
        </is>
      </c>
      <c r="C41" s="12" t="inlineStr">
        <is>
          <t>GST (IGST 18%)</t>
        </is>
      </c>
      <c r="D41" s="12" t="inlineStr">
        <is>
          <t>AWS India (AISPL) invoice</t>
        </is>
      </c>
      <c r="E41" s="12" t="inlineStr">
        <is>
          <t>—</t>
        </is>
      </c>
      <c r="F41" s="12" t="inlineStr">
        <is>
          <t>India</t>
        </is>
      </c>
      <c r="G41" s="12" t="inlineStr">
        <is>
          <t>Tax added to every AWS charge</t>
        </is>
      </c>
      <c r="H41" s="12" t="inlineStr">
        <is>
          <t>18% of lines 1–39; assumes AISPL billing (check Billing → Account)</t>
        </is>
      </c>
      <c r="I41" s="26">
        <f>ROUND(SUM(I2:I40)*0.18,2)</f>
        <v/>
      </c>
      <c r="J41" s="27">
        <f>I41*Cost!$B$15</f>
        <v/>
      </c>
      <c r="K41" s="12" t="inlineStr">
        <is>
          <t>AISPL charges 18% GST on AWS services</t>
        </is>
      </c>
      <c r="L41" s="13" t="inlineStr">
        <is>
          <t>Assumption (confirm entity)</t>
        </is>
      </c>
      <c r="M41" s="13" t="inlineStr">
        <is>
          <t>Applies on apply</t>
        </is>
      </c>
      <c r="N41" s="12" t="n">
        <v>1</v>
      </c>
    </row>
    <row r="42">
      <c r="H42" s="3" t="inlineStr">
        <is>
          <t>Total per month incl. 18% GST (expected use)</t>
        </is>
      </c>
      <c r="I42" s="33">
        <f>SUM(I2:I41)</f>
        <v/>
      </c>
      <c r="J42" s="34">
        <f>SUM(J2:J41)</f>
        <v/>
      </c>
    </row>
    <row r="43">
      <c r="H43" s="3" t="inlineStr">
        <is>
          <t>Budget (₹)</t>
        </is>
      </c>
      <c r="I43" s="3" t="n"/>
      <c r="J43" s="34">
        <f>Cost!B16</f>
        <v/>
      </c>
    </row>
    <row r="44">
      <c r="H44" s="3" t="inlineStr">
        <is>
          <t>Headroom (₹)</t>
        </is>
      </c>
      <c r="I44" s="3" t="n"/>
      <c r="J44" s="34">
        <f>J43-J42</f>
        <v/>
      </c>
    </row>
    <row r="45">
      <c r="H45" s="3" t="inlineStr">
        <is>
          <t>Fits budget?</t>
        </is>
      </c>
      <c r="I45" s="3" t="n"/>
      <c r="J45" s="3">
        <f>IF(J42&lt;=J43,"Yes","No")</f>
        <v/>
      </c>
    </row>
    <row r="47">
      <c r="A47" s="23" t="inlineStr">
        <is>
          <t>Design: D1 option E2 (revised) — PROVISIONAL until D1 is decided. Source: infra/ (Terraform 1.16.5 / AWS provider 6.67.0, validated 2026-10-02). INR uses Cost!B15. Aurora hours are the main uncertainty. Review 2026-10-02: GST line added (tracker v1.3); total now includes 18% GST.</t>
        </is>
      </c>
    </row>
  </sheetData>
  <autoFilter ref="A1:N40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3 subnets, IGW, 2 route tables, SGs)</t>
        </is>
      </c>
      <c r="C2" s="12" t="inlineStr">
        <is>
          <t>weekend2-dev-vpc …</t>
        </is>
      </c>
      <c r="D2" s="12" t="inlineStr">
        <is>
          <t>10.30.0.0/16; no NAT; no inbound rules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KMS CMK</t>
        </is>
      </c>
      <c r="C3" s="12" t="inlineStr">
        <is>
          <t>alias/weekend2-dev-data</t>
        </is>
      </c>
      <c r="D3" s="12" t="inlineStr">
        <is>
          <t>Rotation 365 d; 7-day deletion window</t>
        </is>
      </c>
      <c r="E3" s="12" t="inlineStr">
        <is>
          <t>None</t>
        </is>
      </c>
      <c r="F3" s="12" t="n">
        <v>1</v>
      </c>
      <c r="G3" s="12">
        <f>F3*Cost!$B$15</f>
        <v/>
      </c>
      <c r="H3" s="12" t="inlineStr">
        <is>
          <t>$1/key-month (AWS Price List API ap-south-1 2026-09-11)</t>
        </is>
      </c>
      <c r="I3" s="12" t="inlineStr">
        <is>
          <t>Verified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Secret</t>
        </is>
      </c>
      <c r="C4" s="12" t="inlineStr">
        <is>
          <t>weekend2-dev/tailscale/authkey</t>
        </is>
      </c>
      <c r="D4" s="12" t="inlineStr">
        <is>
          <t>KMS; recovery window 0 (dev)</t>
        </is>
      </c>
      <c r="E4" s="12" t="inlineStr">
        <is>
          <t>None</t>
        </is>
      </c>
      <c r="F4" s="12" t="n">
        <v>0.4</v>
      </c>
      <c r="G4" s="12">
        <f>F4*Cost!$B$15</f>
        <v/>
      </c>
      <c r="H4" s="12" t="inlineStr">
        <is>
          <t>$0.40/secret-month</t>
        </is>
      </c>
      <c r="I4" s="12" t="inlineStr">
        <is>
          <t>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</t>
        </is>
      </c>
      <c r="C5" s="12" t="inlineStr">
        <is>
          <t>weekend2-dev/app/session-signing-key</t>
        </is>
      </c>
      <c r="D5" s="12" t="inlineStr">
        <is>
          <t>KMS</t>
        </is>
      </c>
      <c r="E5" s="12" t="inlineStr">
        <is>
          <t>None</t>
        </is>
      </c>
      <c r="F5" s="12" t="n">
        <v>0.4</v>
      </c>
      <c r="G5" s="12">
        <f>F5*Cost!$B$15</f>
        <v/>
      </c>
      <c r="H5" s="12" t="inlineStr">
        <is>
          <t>$0.40/secret-month</t>
        </is>
      </c>
      <c r="I5" s="12" t="inlineStr">
        <is>
          <t>Verified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Secret (RDS-managed)</t>
        </is>
      </c>
      <c r="C6" s="12" t="inlineStr">
        <is>
          <t>rds!cluster-&lt;id&gt;</t>
        </is>
      </c>
      <c r="D6" s="12" t="inlineStr">
        <is>
          <t>Aurora master password, rotated by RDS</t>
        </is>
      </c>
      <c r="E6" s="12" t="inlineStr">
        <is>
          <t>None</t>
        </is>
      </c>
      <c r="F6" s="12" t="n">
        <v>0.4</v>
      </c>
      <c r="G6" s="12">
        <f>F6*Cost!$B$15</f>
        <v/>
      </c>
      <c r="H6" s="12" t="inlineStr">
        <is>
          <t>$0.40/secret-month</t>
        </is>
      </c>
      <c r="I6" s="12" t="inlineStr">
        <is>
          <t>Verified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Aurora PostgreSQL Serverless v2 (compute)</t>
        </is>
      </c>
      <c r="C7" s="12" t="inlineStr">
        <is>
          <t>weekend2-dev-aurora</t>
        </is>
      </c>
      <c r="D7" s="12" t="inlineStr">
        <is>
          <t>0–1 ACU; pause after 300 s; Data API; no deletion protection; 1-day backups</t>
        </is>
      </c>
      <c r="E7" s="12" t="n"/>
      <c r="F7" s="12">
        <f>ROUND($F$26*0.5*0.18,2)</f>
        <v/>
      </c>
      <c r="G7" s="12">
        <f>F7*Cost!$B$15</f>
        <v/>
      </c>
      <c r="H7" s="12" t="inlineStr">
        <is>
          <t>$0.18/ACU-h × 0.5 ACU × active hours (F26)</t>
        </is>
      </c>
      <c r="I7" s="12" t="inlineStr">
        <is>
          <t>Rate verified; hours 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Aurora storage + I/O</t>
        </is>
      </c>
      <c r="C8" s="12" t="inlineStr">
        <is>
          <t>—</t>
        </is>
      </c>
      <c r="D8" s="12" t="inlineStr">
        <is>
          <t>&lt;1 GB test data</t>
        </is>
      </c>
      <c r="E8" s="12" t="inlineStr">
        <is>
          <t>None</t>
        </is>
      </c>
      <c r="F8" s="12" t="n">
        <v>0.15</v>
      </c>
      <c r="G8" s="12">
        <f>F8*Cost!$B$15</f>
        <v/>
      </c>
      <c r="H8" s="12" t="inlineStr">
        <is>
          <t>$0.11/GB-mo + $0.22/M I/O (verified rates); volume estimate</t>
        </is>
      </c>
      <c r="I8" s="12" t="inlineStr">
        <is>
          <t>Estimate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Lambda ×2 + Function URL</t>
        </is>
      </c>
      <c r="C9" s="12" t="inlineStr">
        <is>
          <t>weekend2-dev-api / weekend2-dev-worker</t>
        </is>
      </c>
      <c r="D9" s="12" t="inlineStr">
        <is>
          <t>python3.14 arm64; AWS_IAM URL; BUFFERED</t>
        </is>
      </c>
      <c r="E9" s="12" t="inlineStr">
        <is>
          <t>Always free: 1M req + 400k GB-s/mo</t>
        </is>
      </c>
      <c r="F9" s="12" t="n">
        <v>0</v>
      </c>
      <c r="G9" s="12">
        <f>F9*Cost!$B$15</f>
        <v/>
      </c>
      <c r="H9" s="12" t="inlineStr">
        <is>
          <t>AWS Free Tier (always free)</t>
        </is>
      </c>
      <c r="I9" s="12" t="inlineStr">
        <is>
          <t>Verified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CloudWatch Logs ×2</t>
        </is>
      </c>
      <c r="C10" s="12" t="inlineStr">
        <is>
          <t>/aws/lambda/weekend2-dev-*</t>
        </is>
      </c>
      <c r="D10" s="12" t="inlineStr">
        <is>
          <t>3-day retention; KMS; DEBUG</t>
        </is>
      </c>
      <c r="E10" s="12" t="inlineStr">
        <is>
          <t>5 GB ingest free (Not verified)</t>
        </is>
      </c>
      <c r="F10" s="12" t="n">
        <v>0.1</v>
      </c>
      <c r="G10" s="12">
        <f>F10*Cost!$B$15</f>
        <v/>
      </c>
      <c r="H10" s="12" t="inlineStr">
        <is>
          <t>$0.67/GB ingest; volume estimate</t>
        </is>
      </c>
      <c r="I10" s="12" t="inlineStr">
        <is>
          <t>Estimate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EventBridge Scheduler</t>
        </is>
      </c>
      <c r="C11" s="12" t="inlineStr">
        <is>
          <t>weekend2-dev group + 2 daily jobs</t>
        </is>
      </c>
      <c r="D11" s="12" t="inlineStr">
        <is>
          <t>IST cron</t>
        </is>
      </c>
      <c r="E11" s="12" t="inlineStr">
        <is>
          <t>14M invocations/mo free (Not verified)</t>
        </is>
      </c>
      <c r="F11" s="12" t="n">
        <v>0</v>
      </c>
      <c r="G11" s="12">
        <f>F11*Cost!$B$15</f>
        <v/>
      </c>
      <c r="H11" s="12" t="inlineStr">
        <is>
          <t>—</t>
        </is>
      </c>
      <c r="I11" s="12" t="inlineStr">
        <is>
          <t>Not verified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EC2 t4g.small (entry node)</t>
        </is>
      </c>
      <c r="C12" s="12" t="inlineStr">
        <is>
          <t>weekend2-dev-entry (tailnet node-d1)</t>
        </is>
      </c>
      <c r="D12" s="12" t="inlineStr">
        <is>
          <t>AL2023 arm64; IMDSv2; SSM; tag:weekend-dev; can be disabled</t>
        </is>
      </c>
      <c r="E12" s="12" t="inlineStr">
        <is>
          <t>EC2 T4g free trial: 750 h/mo, ap-south-1, until 2026-12-31</t>
        </is>
      </c>
      <c r="F12" s="12" t="n">
        <v>0</v>
      </c>
      <c r="G12" s="12">
        <f>F12*Cost!$B$15</f>
        <v/>
      </c>
      <c r="H12" s="12" t="inlineStr">
        <is>
          <t>aws.amazon.com/ec2/faqs (read 2026-10-02)</t>
        </is>
      </c>
      <c r="I12" s="12" t="inlineStr">
        <is>
          <t>Verified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EBS gp3 8 GB</t>
        </is>
      </c>
      <c r="C13" s="12" t="inlineStr">
        <is>
          <t>(root volume)</t>
        </is>
      </c>
      <c r="D13" s="12" t="inlineStr">
        <is>
          <t>Encrypted with CMK; billed even when the node is stopped</t>
        </is>
      </c>
      <c r="E13" s="12" t="inlineStr">
        <is>
          <t>Not covered by T4g trial</t>
        </is>
      </c>
      <c r="F13" s="12">
        <f>IF($F$27&gt;0,ROUND(0.0912*8,2),0)</f>
        <v/>
      </c>
      <c r="G13" s="12">
        <f>F13*Cost!$B$15</f>
        <v/>
      </c>
      <c r="H13" s="12" t="inlineStr">
        <is>
          <t>$0.0912/GB-mo × 8 (2026-09-25)</t>
        </is>
      </c>
      <c r="I13" s="12" t="inlineStr">
        <is>
          <t>Verified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Public IPv4</t>
        </is>
      </c>
      <c r="C14" s="12" t="inlineStr">
        <is>
          <t>(auto-assigned)</t>
        </is>
      </c>
      <c r="D14" s="12" t="inlineStr">
        <is>
          <t>Egress only; released while the node is stopped</t>
        </is>
      </c>
      <c r="E14" s="12" t="inlineStr">
        <is>
          <t>No free tier listed on VPC pricing page</t>
        </is>
      </c>
      <c r="F14" s="12">
        <f>ROUND(0.005*$F$27,2)</f>
        <v/>
      </c>
      <c r="G14" s="12">
        <f>F14*Cost!$B$15</f>
        <v/>
      </c>
      <c r="H14" s="12" t="inlineStr">
        <is>
          <t>$0.005/h × running hours (F27); aws.amazon.com/vpc/pricing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n">
        <v>14</v>
      </c>
      <c r="B15" s="12" t="inlineStr">
        <is>
          <t>S3 backup bucket</t>
        </is>
      </c>
      <c r="C15" s="12" t="inlineStr">
        <is>
          <t>weekend2-dev-backups-&lt;account-id&gt;</t>
        </is>
      </c>
      <c r="D15" s="12" t="inlineStr">
        <is>
          <t>Object Lock 1 day; force_destroy; SSE-KMS</t>
        </is>
      </c>
      <c r="E15" s="12" t="inlineStr">
        <is>
          <t>None</t>
        </is>
      </c>
      <c r="F15" s="12" t="n">
        <v>0.01</v>
      </c>
      <c r="G15" s="12">
        <f>F15*Cost!$B$15</f>
        <v/>
      </c>
      <c r="H15" s="12" t="inlineStr">
        <is>
          <t>Test-sized</t>
        </is>
      </c>
      <c r="I15" s="12" t="inlineStr">
        <is>
          <t>Estimate</t>
        </is>
      </c>
      <c r="J15" s="12" t="inlineStr">
        <is>
          <t>Drafted (not applied)</t>
        </is>
      </c>
    </row>
    <row r="16">
      <c r="A16" s="12" t="n">
        <v>15</v>
      </c>
      <c r="B16" s="12" t="inlineStr">
        <is>
          <t>AWS Budget</t>
        </is>
      </c>
      <c r="C16" s="12" t="inlineStr">
        <is>
          <t>weekend2-dev-monthly</t>
        </is>
      </c>
      <c r="D16" s="12" t="inlineStr">
        <is>
          <t>USD 12 incl. tax; 50/80/100% + forecast</t>
        </is>
      </c>
      <c r="E16" s="12" t="inlineStr">
        <is>
          <t>Budgets free (no actions)</t>
        </is>
      </c>
      <c r="F16" s="12" t="n">
        <v>0</v>
      </c>
      <c r="G16" s="12">
        <f>F16*Cost!$B$15</f>
        <v/>
      </c>
      <c r="H16" s="12" t="inlineStr">
        <is>
          <t>—</t>
        </is>
      </c>
      <c r="I16" s="12" t="inlineStr">
        <is>
          <t>Not verified</t>
        </is>
      </c>
      <c r="J16" s="12" t="inlineStr">
        <is>
          <t>Drafted (not applied)</t>
        </is>
      </c>
    </row>
    <row r="17">
      <c r="A17" s="12" t="n">
        <v>16</v>
      </c>
      <c r="B17" s="12" t="inlineStr">
        <is>
          <t>Amazon Bedrock (Haiku 4.5, dev testing)</t>
        </is>
      </c>
      <c r="C17" s="12" t="inlineStr">
        <is>
          <t>—</t>
        </is>
      </c>
      <c r="D17" s="12" t="inlineStr">
        <is>
          <t>in.* India profile; both model slots = Haiku</t>
        </is>
      </c>
      <c r="E17" s="12" t="inlineStr">
        <is>
          <t>No free tier (credits apply)</t>
        </is>
      </c>
      <c r="F17" s="12">
        <f>$F$28</f>
        <v/>
      </c>
      <c r="G17" s="12">
        <f>F17*Cost!$B$15</f>
        <v/>
      </c>
      <c r="H17" s="12" t="inlineStr">
        <is>
          <t>Estimate (F28)</t>
        </is>
      </c>
      <c r="I17" s="12" t="inlineStr">
        <is>
          <t>Estimate</t>
        </is>
      </c>
      <c r="J17" s="12" t="inlineStr">
        <is>
          <t>Drafted (not applied)</t>
        </is>
      </c>
    </row>
    <row r="18">
      <c r="A18" s="12" t="inlineStr">
        <is>
          <t>GST</t>
        </is>
      </c>
      <c r="B18" s="12" t="inlineStr">
        <is>
          <t>GST (IGST 18%)</t>
        </is>
      </c>
      <c r="C18" s="12" t="inlineStr">
        <is>
          <t>AWS India (AISPL) invoice</t>
        </is>
      </c>
      <c r="D18" s="12" t="inlineStr">
        <is>
          <t>18% of lines above; assumes AISPL billing</t>
        </is>
      </c>
      <c r="E18" s="12" t="inlineStr">
        <is>
          <t>—</t>
        </is>
      </c>
      <c r="F18" s="12">
        <f>ROUND(SUM(F2:F17)*0.18,2)</f>
        <v/>
      </c>
      <c r="G18" s="12">
        <f>F18*Cost!$B$15</f>
        <v/>
      </c>
      <c r="H18" s="12" t="inlineStr">
        <is>
          <t>AISPL charges 18% GST</t>
        </is>
      </c>
      <c r="I18" s="12" t="inlineStr">
        <is>
          <t>Assumption</t>
        </is>
      </c>
      <c r="J18" s="12" t="inlineStr">
        <is>
          <t>Applies on apply</t>
        </is>
      </c>
    </row>
    <row r="19">
      <c r="D19" s="3" t="inlineStr">
        <is>
          <t>Dev total per month incl. GST</t>
        </is>
      </c>
      <c r="F19" s="3">
        <f>SUM(F2:F18)</f>
        <v/>
      </c>
      <c r="G19" s="3">
        <f>SUM(G2:G18)</f>
        <v/>
      </c>
    </row>
    <row r="20">
      <c r="D20" s="3" t="inlineStr">
        <is>
          <t>Dev budget (USD 12)</t>
        </is>
      </c>
      <c r="F20" s="3" t="n">
        <v>12</v>
      </c>
      <c r="G20" s="3">
        <f>F20*Cost!$B$15</f>
        <v/>
      </c>
    </row>
    <row r="21">
      <c r="D21" s="3" t="inlineStr">
        <is>
          <t>Dev fits its budget?</t>
        </is>
      </c>
      <c r="G21" s="3">
        <f>IF(F19&lt;=F20,"Yes","No")</f>
        <v/>
      </c>
    </row>
    <row r="22">
      <c r="D22" s="3" t="inlineStr">
        <is>
          <t>Dev + prod together (₹)</t>
        </is>
      </c>
      <c r="G22" s="3">
        <f>G19+Resources!J42</f>
        <v/>
      </c>
    </row>
    <row r="23">
      <c r="D23" s="3" t="inlineStr">
        <is>
          <t>Dev + prod within ₹5,000?</t>
        </is>
      </c>
      <c r="G23" s="3">
        <f>IF(G22&lt;=Cost!B16,"Yes","No — destroy dev before prod goes live")</f>
        <v/>
      </c>
    </row>
    <row r="25">
      <c r="D25" s="3" t="inlineStr">
        <is>
          <t>Assumptions (yellow = edit me)</t>
        </is>
      </c>
    </row>
    <row r="26">
      <c r="D26" s="5" t="inlineStr">
        <is>
          <t>Aurora active hours / month</t>
        </is>
      </c>
      <c r="F26" s="35" t="n">
        <v>15</v>
      </c>
    </row>
    <row r="27">
      <c r="D27" s="5" t="inlineStr">
        <is>
          <t>Entry node running hours / month (730 = 24/7; 0 = disabled)</t>
        </is>
      </c>
      <c r="F27" s="35" t="n">
        <v>730</v>
      </c>
    </row>
    <row r="28">
      <c r="D28" s="5" t="inlineStr">
        <is>
          <t>Bedrock dev usage (USD / month)</t>
        </is>
      </c>
      <c r="F28" s="35" t="n">
        <v>1</v>
      </c>
    </row>
    <row r="30">
      <c r="A30" s="36" t="inlineStr">
        <is>
          <t>Dev = infra/envs/dev (PROVISIONAL — depends on D1). Free tier used where it exists in ap-south-1: Lambda always free; Scheduler, Budgets and S3 cost nothing or cents at dev volume; EC2 T4g trial (t4g.small, 750 h/month, until 2026-12-31 — switch to t4g.nano before then). Not free: KMS, Secrets Manager, Aurora, public IPv4, EBS, Bedrock. A new-account sign-up credit (USD 100–200, Free plan 6 months) would cover dev. GCP not used: its always-free e2-micro exists only in US regions (data residency, P7) and D4 is AWS-provisional. Sources: aws.amazon.com/ec2/faqs, aws.amazon.com/vpc/pricing, docs.aws.amazon.com free-tier-plans (read 2026-10-02).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AWS services / permissions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build_lambda_package.py</t>
        </is>
      </c>
      <c r="C2" s="12" t="inlineStr">
        <is>
          <t>Build a reproducible arm64 Lambda zip (pip --platform manylinux2014_aarch64) and its SHA-256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None</t>
        </is>
      </c>
      <c r="G2" s="12" t="inlineStr">
        <is>
          <t>src/, requirements.txt</t>
        </is>
      </c>
      <c r="H2" s="12" t="inlineStr">
        <is>
          <t>dist/app.zip + sha256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scripts/build_lambda_package.py</t>
        </is>
      </c>
    </row>
    <row r="3">
      <c r="A3" s="12" t="inlineStr">
        <is>
          <t>PY-02</t>
        </is>
      </c>
      <c r="B3" s="12" t="inlineStr">
        <is>
          <t>db_migrate.py</t>
        </is>
      </c>
      <c r="C3" s="12" t="inlineStr">
        <is>
          <t>Apply SQL migrations via RDS Data API; CREATE EXTENSION vector; create least-privilege app user + its secret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rds-data, secretsmanager</t>
        </is>
      </c>
      <c r="G3" s="12" t="inlineStr">
        <is>
          <t>migrations/*.sql</t>
        </is>
      </c>
      <c r="H3" s="12" t="inlineStr">
        <is>
          <t>schema_version table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scripts/db_migrate.py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Store a secret value from a hidden prompt or file (never a CLI arg); verify KMS key; never echo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secretsmanager, kms</t>
        </is>
      </c>
      <c r="G4" s="12" t="inlineStr">
        <is>
          <t>secret name</t>
        </is>
      </c>
      <c r="H4" s="12" t="inlineStr">
        <is>
          <t>secret 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bedrock_smoke_test.py</t>
        </is>
      </c>
      <c r="C5" s="12" t="inlineStr">
        <is>
          <t>Confirm India-profile model access, latency and token cost for a test prompt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bedrock:InvokeModel</t>
        </is>
      </c>
      <c r="G5" s="12" t="inlineStr">
        <is>
          <t>model ids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scripts/bedrock_smoke_test.py</t>
        </is>
      </c>
    </row>
    <row r="6">
      <c r="A6" s="12" t="inlineStr">
        <is>
          <t>PY-05</t>
        </is>
      </c>
      <c r="B6" s="12" t="inlineStr">
        <is>
          <t>aurora_wake_check.py</t>
        </is>
      </c>
      <c r="C6" s="12" t="inlineStr">
        <is>
          <t>Measure Aurora resume time after auto-pause; tune retry/backoff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rds-data</t>
        </is>
      </c>
      <c r="G6" s="12" t="inlineStr">
        <is>
          <t>cluster ARN</t>
        </is>
      </c>
      <c r="H6" s="12" t="inlineStr">
        <is>
          <t>resume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scripts/aurora_wake_check.py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row + one-time passkey registration code (shown once over SSM)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rds-data, secretsmanager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one-time EventBridge schedules for reminders (no polling)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scheduler, iam:PassRole</t>
        </is>
      </c>
      <c r="G9" s="12" t="inlineStr">
        <is>
          <t>reminder</t>
        </is>
      </c>
      <c r="H9" s="12" t="inlineStr">
        <is>
          <t>schedule ARN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store it in Secrets Manager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secretsmanager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Transcribe, Polly, local) for latency and ₹/minute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transcribe, polly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 to an encrypted archive in S3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rds-data, s3, kms</t>
        </is>
      </c>
      <c r="G12" s="12" t="inlineStr">
        <is>
          <t>—</t>
        </is>
      </c>
      <c r="H12" s="12" t="inlineStr">
        <is>
          <t>s3://…/daily/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table;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rds-data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DB rows + S3 objects (respecting Object Lock)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rds-data, s3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S3 Object Lock copies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rds-data, s3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latest snapshot to a temporary cluster, run integrity checks, record result, delete the temp cluster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rds, rds-data</t>
        </is>
      </c>
      <c r="G17" s="12" t="inlineStr">
        <is>
          <t>snapshot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Bedrock call (runs daily, not per-minute, so Aurora can pause)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using live FX; append to tracker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ce:GetCostAndUsage, ce:GetCostForecast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AWS Price List (ap-south-1) for every tracked resource; flag changes; update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None (public price list)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(Lambda runtime python3.14), type hints, logging (not print), argparse, explicit non-zero exits, pytest tests, ruff/black. Secrets only from Secrets Manager.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2026-10-02T15:37:11Z</dcterms:modified>
</cp:coreProperties>
</file>